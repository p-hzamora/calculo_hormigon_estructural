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2.xml" ContentType="application/vnd.ms-excel.controlproperties+xml"/>
  <Override PartName="/xl/ctrlProps/ctrlProp13.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phzam\Desktop\"/>
    </mc:Choice>
  </mc:AlternateContent>
  <xr:revisionPtr revIDLastSave="0" documentId="13_ncr:1_{817FBD8B-A18C-476E-AE27-228E4E72D8C3}" xr6:coauthVersionLast="47" xr6:coauthVersionMax="47" xr10:uidLastSave="{00000000-0000-0000-0000-000000000000}"/>
  <bookViews>
    <workbookView xWindow="-120" yWindow="-120" windowWidth="29040" windowHeight="15720" tabRatio="734" activeTab="2" xr2:uid="{CD60691F-574B-438E-A166-CEAE108521E7}"/>
  </bookViews>
  <sheets>
    <sheet name="Leyenda" sheetId="2" r:id="rId1"/>
    <sheet name="Tablas EHE" sheetId="3" r:id="rId2"/>
    <sheet name="Flexión simple" sheetId="1" r:id="rId3"/>
    <sheet name="Flexocompresión" sheetId="4" r:id="rId4"/>
    <sheet name="Elementos esbeltos" sheetId="6" r:id="rId5"/>
    <sheet name="Rasante en juntas" sheetId="12" r:id="rId6"/>
    <sheet name="Verificacion de Cortante" sheetId="11" r:id="rId7"/>
    <sheet name="ELS fisuracion" sheetId="16" r:id="rId8"/>
  </sheets>
  <definedNames>
    <definedName name="Diámetros">'Tablas EHE'!$K$2:$K$11</definedName>
    <definedName name="ForjadosUnidireccionales">'Tablas EHE'!$O$6:$O$8</definedName>
    <definedName name="Muros">'Tablas EHE'!$O$10:$O$11</definedName>
    <definedName name="_xlnm.Print_Area" localSheetId="4">'Elementos esbeltos'!$A$1:$I$47</definedName>
    <definedName name="_xlnm.Print_Area" localSheetId="7">'ELS fisuracion'!$A$1:$Q$48</definedName>
    <definedName name="_xlnm.Print_Area" localSheetId="2">'Flexión simple'!$A$1:$W$50</definedName>
    <definedName name="_xlnm.Print_Area" localSheetId="3">Flexocompresión!$A$1:$H$51</definedName>
    <definedName name="_xlnm.Print_Area" localSheetId="0">Leyenda!$A$1:$D$9</definedName>
    <definedName name="_xlnm.Print_Area" localSheetId="5">'Rasante en juntas'!$A$1:$I$40</definedName>
    <definedName name="_xlnm.Print_Area" localSheetId="6">'Verificacion de Cortante'!$A$1:$AB$38</definedName>
    <definedName name="solver_eng" localSheetId="2" hidden="1">1</definedName>
    <definedName name="solver_neg" localSheetId="2" hidden="1">1</definedName>
    <definedName name="solver_num" localSheetId="2" hidden="1">0</definedName>
    <definedName name="solver_opt" localSheetId="2" hidden="1">'Flexión simple'!$F$15</definedName>
    <definedName name="solver_typ" localSheetId="2" hidden="1">1</definedName>
    <definedName name="solver_val" localSheetId="2" hidden="1">0</definedName>
    <definedName name="solver_ver" localSheetId="2" hidden="1">3</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7" i="11" l="1"/>
  <c r="C36" i="11"/>
  <c r="C35" i="11"/>
  <c r="C34" i="11"/>
  <c r="C33" i="11"/>
  <c r="C32" i="11"/>
  <c r="H21" i="11"/>
  <c r="E17" i="16"/>
  <c r="B68" i="16"/>
  <c r="E5" i="16" l="1"/>
  <c r="E4" i="16"/>
  <c r="E19" i="16" l="1"/>
  <c r="H27" i="12" l="1"/>
  <c r="G31" i="16"/>
  <c r="G10" i="4"/>
  <c r="G9" i="4"/>
  <c r="D13" i="4"/>
  <c r="D12" i="4"/>
  <c r="D7" i="11"/>
  <c r="Q4" i="11" s="1"/>
  <c r="E22" i="16"/>
  <c r="E21" i="16" s="1"/>
  <c r="E20" i="16"/>
  <c r="E33" i="16" l="1"/>
  <c r="E34" i="16" s="1"/>
  <c r="E23" i="16"/>
  <c r="E35" i="16"/>
  <c r="E13" i="16"/>
  <c r="E11" i="16"/>
  <c r="H7" i="16" s="1"/>
  <c r="H8" i="16" s="1"/>
  <c r="G30" i="16"/>
  <c r="C6" i="12"/>
  <c r="H11" i="12"/>
  <c r="H23" i="12" a="1"/>
  <c r="H23" i="12" s="1"/>
  <c r="O6" i="11"/>
  <c r="M4" i="11"/>
  <c r="M16" i="11"/>
  <c r="P24" i="11" a="1"/>
  <c r="P24" i="11" s="1"/>
  <c r="G5" i="12"/>
  <c r="H15" i="12"/>
  <c r="G4" i="12"/>
  <c r="G6" i="12" s="1"/>
  <c r="H14" i="12"/>
  <c r="D6" i="4"/>
  <c r="G11" i="4"/>
  <c r="H21" i="4" s="1"/>
  <c r="H22" i="4" s="1"/>
  <c r="G12" i="4"/>
  <c r="G13" i="4" s="1"/>
  <c r="H28" i="4"/>
  <c r="E33" i="4"/>
  <c r="G39" i="4" s="1"/>
  <c r="L35" i="4"/>
  <c r="G41" i="4"/>
  <c r="F47" i="4"/>
  <c r="F48" i="4"/>
  <c r="P29" i="11" l="1"/>
  <c r="P26" i="11" s="1"/>
  <c r="P25" i="11"/>
  <c r="H22" i="11"/>
  <c r="H24" i="12"/>
  <c r="H25" i="12" s="1"/>
  <c r="I25" i="12" s="1"/>
  <c r="G7" i="12"/>
  <c r="H31" i="12" s="1"/>
  <c r="H30" i="12"/>
  <c r="O13" i="11"/>
  <c r="O17" i="11"/>
  <c r="E36" i="16"/>
  <c r="E39" i="16"/>
  <c r="E40" i="16" s="1"/>
  <c r="H17" i="12"/>
  <c r="G35" i="12" s="1"/>
  <c r="H16" i="12"/>
  <c r="H40" i="12" s="1"/>
  <c r="G8" i="4"/>
  <c r="H27" i="4"/>
  <c r="H12" i="12" l="1" a="1"/>
  <c r="H12" i="12" s="1"/>
  <c r="G36" i="12" s="1"/>
  <c r="C25" i="12"/>
  <c r="E38" i="16"/>
  <c r="E42" i="16" s="1"/>
  <c r="E43" i="16" s="1"/>
  <c r="F36" i="16"/>
  <c r="E37" i="16"/>
  <c r="F37" i="16" s="1"/>
  <c r="H29" i="4"/>
  <c r="L32" i="4" s="1"/>
  <c r="O32" i="4" s="1"/>
  <c r="N30" i="4"/>
  <c r="N29" i="4"/>
  <c r="E20" i="4"/>
  <c r="E21" i="4"/>
  <c r="H32" i="12" l="1"/>
  <c r="G38" i="12" s="1"/>
  <c r="I40" i="12" s="1"/>
  <c r="E44" i="16"/>
  <c r="E45" i="16" s="1"/>
  <c r="G40" i="4"/>
  <c r="G30" i="4"/>
  <c r="H30" i="4"/>
  <c r="E34" i="4" s="1"/>
  <c r="N42" i="4" s="1"/>
  <c r="P42" i="4" s="1"/>
  <c r="E22" i="4"/>
  <c r="E40" i="12" l="1"/>
  <c r="G46" i="16"/>
  <c r="F46" i="16" s="1"/>
  <c r="E46" i="16"/>
  <c r="N38" i="4"/>
  <c r="N39" i="4" s="1"/>
  <c r="N41" i="4" s="1"/>
  <c r="P41" i="4" s="1"/>
  <c r="N36" i="4"/>
  <c r="P36" i="4" s="1"/>
  <c r="N33" i="4"/>
  <c r="E47" i="16" l="1"/>
  <c r="D32" i="4"/>
  <c r="L31" i="4" s="1"/>
  <c r="N32" i="4" s="1"/>
  <c r="G37" i="4"/>
  <c r="G47" i="4" s="1"/>
  <c r="N34" i="4"/>
  <c r="N37" i="4"/>
  <c r="P37" i="4" s="1"/>
  <c r="G38" i="4" s="1"/>
  <c r="G48" i="4" s="1"/>
  <c r="E48" i="16" l="1"/>
  <c r="D2" i="16"/>
  <c r="D16" i="11"/>
  <c r="F15" i="11"/>
  <c r="D11" i="11"/>
  <c r="F10" i="11"/>
  <c r="M46" i="6"/>
  <c r="G44" i="6"/>
  <c r="O41" i="6"/>
  <c r="O40" i="6"/>
  <c r="E36" i="6"/>
  <c r="G42" i="6" s="1"/>
  <c r="H31" i="6"/>
  <c r="H30" i="6"/>
  <c r="D16" i="6"/>
  <c r="D15" i="6"/>
  <c r="G13" i="6"/>
  <c r="G12" i="6"/>
  <c r="D9" i="6"/>
  <c r="G7" i="6"/>
  <c r="G8" i="6" s="1"/>
  <c r="D7" i="6"/>
  <c r="D6" i="6"/>
  <c r="G5" i="6"/>
  <c r="G46" i="1"/>
  <c r="G45" i="1"/>
  <c r="F13" i="1"/>
  <c r="F12" i="1"/>
  <c r="H8" i="1"/>
  <c r="I7" i="1"/>
  <c r="H6" i="1"/>
  <c r="F5" i="1"/>
  <c r="N13" i="3" a="1"/>
  <c r="N13" i="3" s="1"/>
  <c r="M15" i="11" l="1"/>
  <c r="E31" i="3"/>
  <c r="E32" i="3"/>
  <c r="E33" i="3"/>
  <c r="D12" i="11"/>
  <c r="Q26" i="11"/>
  <c r="F11" i="11"/>
  <c r="M11" i="11" s="1"/>
  <c r="G14" i="6"/>
  <c r="G24" i="6" s="1"/>
  <c r="G25" i="6" s="1"/>
  <c r="G15" i="6"/>
  <c r="G16" i="6" s="1"/>
  <c r="F16" i="11"/>
  <c r="F17" i="11" s="1"/>
  <c r="H13" i="1"/>
  <c r="H9" i="1" s="1"/>
  <c r="F18" i="1" s="1"/>
  <c r="G18" i="1" s="1"/>
  <c r="H12" i="1"/>
  <c r="E40" i="1" a="1"/>
  <c r="E40" i="1" s="1"/>
  <c r="G32" i="1"/>
  <c r="D2" i="11" l="1"/>
  <c r="M17" i="11"/>
  <c r="H11" i="6"/>
  <c r="E21" i="6" s="1"/>
  <c r="E23" i="6" s="1"/>
  <c r="N31" i="11"/>
  <c r="E32" i="6"/>
  <c r="H33" i="6" s="1"/>
  <c r="M43" i="6" s="1"/>
  <c r="P43" i="6" s="1"/>
  <c r="E39" i="1"/>
  <c r="F20" i="1"/>
  <c r="F19" i="1"/>
  <c r="E24" i="6" l="1"/>
  <c r="M18" i="11"/>
  <c r="P18" i="11" s="1"/>
  <c r="Q25" i="11" s="1"/>
  <c r="B31" i="3"/>
  <c r="B32" i="3"/>
  <c r="E25" i="6"/>
  <c r="O11" i="11"/>
  <c r="O45" i="6"/>
  <c r="H34" i="6"/>
  <c r="E37" i="6" s="1"/>
  <c r="O53" i="6" s="1"/>
  <c r="Q53" i="6" s="1"/>
  <c r="G41" i="6" s="1"/>
  <c r="O44" i="6"/>
  <c r="G34" i="6"/>
  <c r="O48" i="6"/>
  <c r="Q48" i="6" s="1"/>
  <c r="O47" i="6"/>
  <c r="Q47" i="6" s="1"/>
  <c r="G43" i="6"/>
  <c r="F21" i="1"/>
  <c r="E26" i="1" s="1"/>
  <c r="P27" i="11" l="1"/>
  <c r="O49" i="6"/>
  <c r="O50" i="6" s="1"/>
  <c r="O52" i="6" s="1"/>
  <c r="Q52" i="6" s="1"/>
  <c r="G40" i="6" s="1"/>
  <c r="D25" i="1"/>
  <c r="C2" i="1"/>
  <c r="F25" i="1"/>
  <c r="E29" i="1"/>
  <c r="E36" i="1"/>
  <c r="F26" i="1"/>
  <c r="E33" i="1"/>
  <c r="Q27" i="11" l="1"/>
  <c r="N32" i="11"/>
  <c r="O34" i="11" s="1"/>
  <c r="D35" i="6"/>
  <c r="M42" i="6" s="1"/>
  <c r="O43" i="6" s="1"/>
  <c r="E34" i="1"/>
  <c r="H45" i="1" s="1"/>
  <c r="E30" i="1"/>
  <c r="E31" i="1" s="1"/>
  <c r="E37" i="1" s="1"/>
  <c r="I25" i="1"/>
  <c r="N34" i="11" l="1"/>
  <c r="N35" i="11" s="1"/>
  <c r="I27" i="1"/>
  <c r="E27" i="1"/>
  <c r="E32" i="1"/>
  <c r="H46" i="1" s="1"/>
  <c r="N36"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pablo hernandez</author>
  </authors>
  <commentList>
    <comment ref="H7" authorId="0" shapeId="0" xr:uid="{05D51E4E-728C-4625-B4DB-094F9AA8E046}">
      <text>
        <r>
          <rPr>
            <b/>
            <sz val="9"/>
            <color indexed="81"/>
            <rFont val="Tahoma"/>
            <family val="2"/>
          </rPr>
          <t>Agotamiento del hormigón a flexión</t>
        </r>
      </text>
    </comment>
    <comment ref="F15" authorId="0" shapeId="0" xr:uid="{7799FC8F-9DDD-4647-8A55-D690D1D41B7C}">
      <text>
        <r>
          <rPr>
            <b/>
            <sz val="9"/>
            <color indexed="81"/>
            <rFont val="Tahoma"/>
            <family val="2"/>
          </rPr>
          <t>A mayor esfuerzo mayor canto es necesario en la sección</t>
        </r>
        <r>
          <rPr>
            <sz val="9"/>
            <color indexed="81"/>
            <rFont val="Tahoma"/>
            <family val="2"/>
          </rPr>
          <t xml:space="preserve">
por eso las vigas planas funcionan peor y son mas caras</t>
        </r>
      </text>
    </comment>
    <comment ref="F21" authorId="0" shapeId="0" xr:uid="{FB0AB12F-23AA-4643-A4E5-33F5AE0058A2}">
      <text>
        <r>
          <rPr>
            <sz val="9"/>
            <color indexed="81"/>
            <rFont val="Tahoma"/>
            <family val="2"/>
          </rPr>
          <t xml:space="preserve">Max mom que se puede resistir en la seccion sin disponer de armadura de compresion
</t>
        </r>
      </text>
    </comment>
    <comment ref="E26" authorId="0" shapeId="0" xr:uid="{07B93E5E-57C2-4A24-8665-5E29627FB12A}">
      <text>
        <r>
          <rPr>
            <sz val="9"/>
            <color indexed="81"/>
            <rFont val="Tahoma"/>
            <family val="2"/>
          </rPr>
          <t xml:space="preserve">Valor en cm con respecto al total del canto util.
Cuanto mayor es la profundidad mas volumen de  hormigon comprimido tenemos y por tanto mas momento tenemos aplicado sobre una seccion con una cierta capacidad 
</t>
        </r>
        <r>
          <rPr>
            <b/>
            <sz val="9"/>
            <color indexed="81"/>
            <rFont val="Tahoma"/>
            <family val="2"/>
          </rPr>
          <t>NO SE RECOMIENDA EXCEDER DEL Mlim</t>
        </r>
        <r>
          <rPr>
            <sz val="9"/>
            <color indexed="81"/>
            <rFont val="Tahoma"/>
            <family val="2"/>
          </rPr>
          <t xml:space="preserve">
</t>
        </r>
        <r>
          <rPr>
            <b/>
            <sz val="9"/>
            <color indexed="81"/>
            <rFont val="Tahoma"/>
            <family val="2"/>
          </rPr>
          <t>ES PREFERIBLE AUMENTAR EL CANTO (c) UN POCO YA QUE SU   Mlim   SE INCREMENTA MUCHO</t>
        </r>
        <r>
          <rPr>
            <sz val="9"/>
            <color indexed="81"/>
            <rFont val="Tahoma"/>
            <family val="2"/>
          </rPr>
          <t xml:space="preserve">
</t>
        </r>
      </text>
    </comment>
    <comment ref="D30" authorId="0" shapeId="0" xr:uid="{200F9934-A3D1-462E-BC39-28F3F8258EF7}">
      <text>
        <r>
          <rPr>
            <sz val="9"/>
            <color indexed="81"/>
            <rFont val="Tahoma"/>
            <family val="2"/>
          </rPr>
          <t xml:space="preserve">Bloque de compresiones
</t>
        </r>
      </text>
    </comment>
    <comment ref="G32" authorId="0" shapeId="0" xr:uid="{781F0167-56E9-473D-A0A7-61FBF38B4138}">
      <text>
        <r>
          <rPr>
            <sz val="9"/>
            <color indexed="81"/>
            <rFont val="Tahoma"/>
            <family val="2"/>
          </rPr>
          <t xml:space="preserve">Pongo valores fijos por el hecho de ser una cuenta rapida  sin necesidad de saberse todas las formulas
</t>
        </r>
      </text>
    </comment>
    <comment ref="E34" authorId="0" shapeId="0" xr:uid="{68B0B4ED-9492-49C0-BECE-47555222A532}">
      <text>
        <r>
          <rPr>
            <b/>
            <sz val="9"/>
            <color indexed="81"/>
            <rFont val="Tahoma"/>
            <family val="2"/>
          </rPr>
          <t xml:space="preserve">No se recomienda su uso </t>
        </r>
        <r>
          <rPr>
            <sz val="9"/>
            <color indexed="81"/>
            <rFont val="Tahoma"/>
            <family val="2"/>
          </rPr>
          <t xml:space="preserve">pues son secciones cuyas armaduras  van a trabajar </t>
        </r>
        <r>
          <rPr>
            <b/>
            <sz val="9"/>
            <color indexed="81"/>
            <rFont val="Tahoma"/>
            <family val="2"/>
          </rPr>
          <t xml:space="preserve">mal, </t>
        </r>
        <r>
          <rPr>
            <sz val="9"/>
            <color indexed="81"/>
            <rFont val="Tahoma"/>
            <family val="2"/>
          </rPr>
          <t xml:space="preserve">sin apenas ductilidad ni capacidad para redistribuir el esfuerzo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pablo hernandez</author>
  </authors>
  <commentList>
    <comment ref="O32" authorId="0" shapeId="0" xr:uid="{A6C409D5-A907-4AE7-89B4-566EAABF8C1F}">
      <text>
        <r>
          <rPr>
            <b/>
            <sz val="9"/>
            <color indexed="81"/>
            <rFont val="Tahoma"/>
            <family val="2"/>
          </rPr>
          <t>Formula Profesor</t>
        </r>
      </text>
    </comment>
    <comment ref="G41" authorId="0" shapeId="0" xr:uid="{10FC7791-AB11-4166-ABF5-3EF723B53568}">
      <text>
        <r>
          <rPr>
            <sz val="9"/>
            <color indexed="81"/>
            <rFont val="Tahoma"/>
            <family val="2"/>
          </rPr>
          <t>en funcion de la EHE que nos dice que en pilares han de tener una armadura que sea del minimo de 4‰</t>
        </r>
        <r>
          <rPr>
            <b/>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pablo hernandez</author>
  </authors>
  <commentList>
    <comment ref="I7" authorId="0" shapeId="0" xr:uid="{FAD58012-F6DD-44F8-A21E-246F2119629B}">
      <text>
        <r>
          <rPr>
            <b/>
            <sz val="9"/>
            <color indexed="81"/>
            <rFont val="Tahoma"/>
            <family val="2"/>
          </rPr>
          <t>Calculo de Lo</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pablo hernandez</author>
    <author>Jesús</author>
  </authors>
  <commentList>
    <comment ref="C6" authorId="0" shapeId="0" xr:uid="{B57D7925-AC6B-427B-82E1-50F8DDEF0261}">
      <text>
        <r>
          <rPr>
            <sz val="9"/>
            <color indexed="81"/>
            <rFont val="Tahoma"/>
            <family val="2"/>
          </rPr>
          <t>Tensiones generadas sobre la junta</t>
        </r>
      </text>
    </comment>
    <comment ref="H24" authorId="1" shapeId="0" xr:uid="{D2128B58-D120-4AA7-A759-62318E06486C}">
      <text>
        <r>
          <rPr>
            <sz val="9"/>
            <color indexed="81"/>
            <rFont val="Tahoma"/>
            <family val="2"/>
          </rPr>
          <t>En nuestro caso la dispuesta será la misma a la real pero no en casos reales pues por calcula obtenemos la dispuesta pero en la real redondeamos a valores enteros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pablo hernandez</author>
  </authors>
  <commentList>
    <comment ref="P18" authorId="0" shapeId="0" xr:uid="{3C0E9FD3-541D-4093-AAAA-792FB29CDB1B}">
      <text>
        <r>
          <rPr>
            <sz val="9"/>
            <color indexed="81"/>
            <rFont val="Tahoma"/>
            <family val="2"/>
          </rPr>
          <t>Armadura necesaria para soportar el cortante aun canto util del borde de apoyo V</t>
        </r>
        <r>
          <rPr>
            <vertAlign val="subscript"/>
            <sz val="9"/>
            <color indexed="81"/>
            <rFont val="Tahoma"/>
            <family val="2"/>
          </rPr>
          <t xml:space="preserve">d2
</t>
        </r>
      </text>
    </comment>
    <comment ref="N34" authorId="0" shapeId="0" xr:uid="{2F0B397C-B5F3-4190-8E97-57F878BF0420}">
      <text>
        <r>
          <rPr>
            <sz val="9"/>
            <color indexed="81"/>
            <rFont val="Tahoma"/>
            <family val="2"/>
          </rPr>
          <t>Cuantia que dispongo para cumplir todos los minimos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pablo hernandez</author>
    <author>Jesús</author>
  </authors>
  <commentList>
    <comment ref="E7" authorId="0" shapeId="0" xr:uid="{75DF070B-5DDF-424D-B26C-8B82EB280D2E}">
      <text>
        <r>
          <rPr>
            <b/>
            <sz val="11"/>
            <color indexed="81"/>
            <rFont val="Tahoma"/>
            <family val="2"/>
          </rPr>
          <t>Cada vez que aumentamos la carga, aparecen mas fisuras a una distancia Sm constante y de mayor profundidad. Con lo que la fibra neutra se va comprimiendo mas en la parte superior(donde se encuentra la capa de compresiones), en caso de que el momento sea positivo. 
Cuando se produce una fisura, en esa seccion, todas las tracciones pasan a ser resistidas por el acero, pero entre fisuras (Sm) sigue habiendo hormigon, con lo que la tension que soporta el acero en la fisura pasa al hormigon a traves de las corrugas hasta alcanzar el punto de  "No deslizamiento" donde se produce el equilibrio de fuerzas.</t>
        </r>
      </text>
    </comment>
    <comment ref="E28" authorId="1" shapeId="0" xr:uid="{D7C892E5-F3D5-4600-8EA0-217FB4958756}">
      <text>
        <r>
          <rPr>
            <b/>
            <sz val="9"/>
            <color indexed="81"/>
            <rFont val="Tahoma"/>
            <family val="2"/>
          </rPr>
          <t>Siempre este valor en nuestro caso</t>
        </r>
      </text>
    </comment>
    <comment ref="F33" authorId="0" shapeId="0" xr:uid="{9A3BC48F-5E94-446D-BAFF-46D9857AFF9E}">
      <text>
        <r>
          <rPr>
            <b/>
            <sz val="12"/>
            <color indexed="81"/>
            <rFont val="Tahoma"/>
            <family val="2"/>
          </rPr>
          <t>La fisuracion es una verificacion de armaduras para que se cumpla una apertura de fisura. Si no se cumple debemos incrementar la armadura para que cumpla disponiendo redondos de menos diametro a una separacion entre ellos menor</t>
        </r>
      </text>
    </comment>
    <comment ref="E36" authorId="0" shapeId="0" xr:uid="{DCB9AA16-5DA4-4006-987A-9413C8D817E4}">
      <text>
        <r>
          <rPr>
            <sz val="9"/>
            <color indexed="81"/>
            <rFont val="Tahoma"/>
            <family val="2"/>
          </rPr>
          <t xml:space="preserve">Depende solamente de Ro, la cual a su vez depende exclusivamente de la cuantia de armadura NO del esfuerzo exterior.
</t>
        </r>
        <r>
          <rPr>
            <b/>
            <sz val="9"/>
            <color indexed="81"/>
            <rFont val="Tahoma"/>
            <family val="2"/>
          </rPr>
          <t>Con ella calculo Inercia fisurada&gt;Sigma C&gt; sigma C
Calculo para seccion en servicio</t>
        </r>
      </text>
    </comment>
    <comment ref="E38" authorId="0" shapeId="0" xr:uid="{0222C796-4B13-408F-8601-15F2FCE1806C}">
      <text>
        <r>
          <rPr>
            <sz val="9"/>
            <color indexed="81"/>
            <rFont val="Tahoma"/>
            <family val="2"/>
          </rPr>
          <t>A medida que se fisura una pieza esta pierde inercia, pasa a ser mas flexible.
Se utiliza para calcular las tensiones del hormigon Sigma C y con ello Sigma S</t>
        </r>
      </text>
    </comment>
    <comment ref="E47" authorId="0" shapeId="0" xr:uid="{4344EB19-F47E-47A9-89C1-5F5AFA1E5EC0}">
      <text>
        <r>
          <rPr>
            <sz val="9"/>
            <color indexed="81"/>
            <rFont val="Tahoma"/>
            <family val="2"/>
          </rPr>
          <t>Esta dimension es proporcional a Sm (distancia entre fisuras) y tambien lo es a la deformacion del acero en esa secicon.
 Por tanto para pasar de valores medios a valores caracteristicos, multiplicamos por un coef. B que nos indica la norma, dependiendo del tipo de accion.</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<sst xmlns="http://schemas.openxmlformats.org/spreadsheetml/2006/main" count="613" uniqueCount="418">
  <si>
    <t>a.4 Esfuerzos de cálculo:</t>
  </si>
  <si>
    <t>a.3 coeficientes de seguridad:</t>
  </si>
  <si>
    <t>a.2 Materiales:</t>
  </si>
  <si>
    <t>a.1 Dimensiones:</t>
  </si>
  <si>
    <t>b) Valores característicos:</t>
  </si>
  <si>
    <t>Ancho (b) =</t>
  </si>
  <si>
    <t>Canto útil (d) =</t>
  </si>
  <si>
    <t>Hormigón =</t>
  </si>
  <si>
    <t>Hormigon</t>
  </si>
  <si>
    <t>HA-25</t>
  </si>
  <si>
    <t>HA-30</t>
  </si>
  <si>
    <t>HA-35</t>
  </si>
  <si>
    <t>HA-40</t>
  </si>
  <si>
    <t>Acero</t>
  </si>
  <si>
    <t>B400S</t>
  </si>
  <si>
    <t>B500S</t>
  </si>
  <si>
    <t>Acero:</t>
  </si>
  <si>
    <r>
      <t>ε</t>
    </r>
    <r>
      <rPr>
        <vertAlign val="subscript"/>
        <sz val="12"/>
        <color theme="1"/>
        <rFont val="Calibri"/>
        <family val="2"/>
        <scheme val="minor"/>
      </rPr>
      <t>y</t>
    </r>
    <r>
      <rPr>
        <sz val="12"/>
        <color theme="1"/>
        <rFont val="Calibri"/>
        <family val="2"/>
        <scheme val="minor"/>
      </rPr>
      <t>=</t>
    </r>
  </si>
  <si>
    <t>Tipo de acción:</t>
  </si>
  <si>
    <t>Permanente</t>
  </si>
  <si>
    <t>Accidental</t>
  </si>
  <si>
    <t>Md=</t>
  </si>
  <si>
    <t>Es</t>
  </si>
  <si>
    <t>Gconcrete</t>
  </si>
  <si>
    <t>Gsteel</t>
  </si>
  <si>
    <t>Recubrimiento mecánico (r) =</t>
  </si>
  <si>
    <t>Capacidad límite hormigón:</t>
  </si>
  <si>
    <t>Momento límite:</t>
  </si>
  <si>
    <t>c) Armaduras necesarias por cálculo:</t>
  </si>
  <si>
    <t>d) Armaduras mínimas:</t>
  </si>
  <si>
    <t>e) Armadura dispuestas:</t>
  </si>
  <si>
    <t>Diam</t>
  </si>
  <si>
    <t>As,disp</t>
  </si>
  <si>
    <t>Variables exógenas</t>
  </si>
  <si>
    <t>Variables endógenas</t>
  </si>
  <si>
    <t>Leyenda</t>
  </si>
  <si>
    <t>Celdas desplegables</t>
  </si>
  <si>
    <t>Mód  elastici. acero (Es)</t>
  </si>
  <si>
    <t>Estribos solo para perimetro exterior</t>
  </si>
  <si>
    <t>Estribos en ambas caras del perimetro</t>
  </si>
  <si>
    <t>Cuantia geometrica minima</t>
  </si>
  <si>
    <t>Tipo elemento</t>
  </si>
  <si>
    <t>Pilares</t>
  </si>
  <si>
    <t>Losas</t>
  </si>
  <si>
    <t>Muros</t>
  </si>
  <si>
    <t>Nervios</t>
  </si>
  <si>
    <t>Armd. Repar. || a los nervios</t>
  </si>
  <si>
    <t>Armd. Repar. _l_ a los nervios</t>
  </si>
  <si>
    <t>Armd. Horizontal</t>
  </si>
  <si>
    <t>Armd. Vertical</t>
  </si>
  <si>
    <t>Vigas</t>
  </si>
  <si>
    <t>ForjadosUnidireccionales</t>
  </si>
  <si>
    <t>Columna1</t>
  </si>
  <si>
    <t xml:space="preserve"> </t>
  </si>
  <si>
    <t>Cuantía armadura comprimida: A's=</t>
  </si>
  <si>
    <t>Diámetros</t>
  </si>
  <si>
    <r>
      <t>ε</t>
    </r>
    <r>
      <rPr>
        <vertAlign val="subscript"/>
        <sz val="12"/>
        <color theme="1"/>
        <rFont val="Calibri"/>
        <family val="2"/>
        <scheme val="minor"/>
      </rPr>
      <t>cu</t>
    </r>
    <r>
      <rPr>
        <sz val="12"/>
        <color theme="1"/>
        <rFont val="Calibri"/>
        <family val="2"/>
        <scheme val="minor"/>
      </rPr>
      <t>=</t>
    </r>
  </si>
  <si>
    <r>
      <t xml:space="preserve">Alargamiento de acero en tracción: </t>
    </r>
    <r>
      <rPr>
        <b/>
        <sz val="12"/>
        <color theme="1"/>
        <rFont val="Calibri"/>
        <family val="2"/>
        <scheme val="minor"/>
      </rPr>
      <t>ε</t>
    </r>
    <r>
      <rPr>
        <b/>
        <vertAlign val="subscript"/>
        <sz val="12"/>
        <color theme="1"/>
        <rFont val="Calibri"/>
        <family val="2"/>
        <scheme val="minor"/>
      </rPr>
      <t>y</t>
    </r>
    <r>
      <rPr>
        <b/>
        <sz val="12"/>
        <color theme="1"/>
        <rFont val="Calibri"/>
        <family val="2"/>
        <scheme val="minor"/>
      </rPr>
      <t xml:space="preserve">= </t>
    </r>
  </si>
  <si>
    <r>
      <t xml:space="preserve">Profundidad bloque compresiones: </t>
    </r>
    <r>
      <rPr>
        <b/>
        <sz val="12"/>
        <color theme="1"/>
        <rFont val="Calibri"/>
        <family val="2"/>
        <scheme val="minor"/>
      </rPr>
      <t>γ=</t>
    </r>
  </si>
  <si>
    <r>
      <t xml:space="preserve">Capacidad hormigón: </t>
    </r>
    <r>
      <rPr>
        <b/>
        <sz val="12"/>
        <color theme="1"/>
        <rFont val="Calibri"/>
        <family val="2"/>
        <scheme val="minor"/>
      </rPr>
      <t>U</t>
    </r>
    <r>
      <rPr>
        <b/>
        <vertAlign val="subscript"/>
        <sz val="12"/>
        <color theme="1"/>
        <rFont val="Calibri"/>
        <family val="2"/>
        <scheme val="minor"/>
      </rPr>
      <t>c</t>
    </r>
    <r>
      <rPr>
        <b/>
        <sz val="12"/>
        <color theme="1"/>
        <rFont val="Calibri"/>
        <family val="2"/>
        <scheme val="minor"/>
      </rPr>
      <t>=</t>
    </r>
  </si>
  <si>
    <r>
      <t xml:space="preserve">Capacidad  armadura traccionada: </t>
    </r>
    <r>
      <rPr>
        <b/>
        <sz val="12"/>
        <color theme="1"/>
        <rFont val="Calibri"/>
        <family val="2"/>
        <scheme val="minor"/>
      </rPr>
      <t>U</t>
    </r>
    <r>
      <rPr>
        <b/>
        <vertAlign val="subscript"/>
        <sz val="12"/>
        <color theme="1"/>
        <rFont val="Calibri"/>
        <family val="2"/>
        <scheme val="minor"/>
      </rPr>
      <t>s</t>
    </r>
    <r>
      <rPr>
        <sz val="12"/>
        <color theme="1"/>
        <rFont val="Calibri"/>
        <family val="2"/>
        <scheme val="minor"/>
      </rPr>
      <t>=</t>
    </r>
  </si>
  <si>
    <r>
      <t>Cuantía armadura traccionada: A</t>
    </r>
    <r>
      <rPr>
        <b/>
        <vertAlign val="subscript"/>
        <sz val="12"/>
        <rFont val="Calibri"/>
        <family val="2"/>
        <scheme val="minor"/>
      </rPr>
      <t>s</t>
    </r>
    <r>
      <rPr>
        <b/>
        <sz val="12"/>
        <rFont val="Calibri"/>
        <family val="2"/>
        <scheme val="minor"/>
      </rPr>
      <t>=</t>
    </r>
  </si>
  <si>
    <r>
      <t xml:space="preserve">Capacidad  armadura comprimida: </t>
    </r>
    <r>
      <rPr>
        <b/>
        <sz val="12"/>
        <color theme="1"/>
        <rFont val="Calibri"/>
        <family val="2"/>
        <scheme val="minor"/>
      </rPr>
      <t>U'</t>
    </r>
    <r>
      <rPr>
        <b/>
        <vertAlign val="subscript"/>
        <sz val="12"/>
        <color theme="1"/>
        <rFont val="Calibri"/>
        <family val="2"/>
        <scheme val="minor"/>
      </rPr>
      <t>s</t>
    </r>
    <r>
      <rPr>
        <sz val="12"/>
        <color theme="1"/>
        <rFont val="Calibri"/>
        <family val="2"/>
        <scheme val="minor"/>
      </rPr>
      <t>=</t>
    </r>
  </si>
  <si>
    <r>
      <t>f</t>
    </r>
    <r>
      <rPr>
        <b/>
        <vertAlign val="subscript"/>
        <sz val="12"/>
        <color theme="1"/>
        <rFont val="Calibri"/>
        <family val="2"/>
        <scheme val="minor"/>
      </rPr>
      <t>yc,d</t>
    </r>
    <r>
      <rPr>
        <b/>
        <sz val="12"/>
        <color theme="1"/>
        <rFont val="Calibri"/>
        <family val="2"/>
        <scheme val="minor"/>
      </rPr>
      <t>=</t>
    </r>
  </si>
  <si>
    <r>
      <t>U</t>
    </r>
    <r>
      <rPr>
        <b/>
        <vertAlign val="subscript"/>
        <sz val="12"/>
        <color theme="1"/>
        <rFont val="Calibri"/>
        <family val="2"/>
        <scheme val="minor"/>
      </rPr>
      <t>c,lim</t>
    </r>
    <r>
      <rPr>
        <b/>
        <sz val="12"/>
        <color theme="1"/>
        <rFont val="Calibri"/>
        <family val="2"/>
        <scheme val="minor"/>
      </rPr>
      <t>=</t>
    </r>
  </si>
  <si>
    <r>
      <t>Armadura mínima mecánica: A</t>
    </r>
    <r>
      <rPr>
        <vertAlign val="subscript"/>
        <sz val="12"/>
        <color theme="1"/>
        <rFont val="Calibri"/>
        <family val="2"/>
        <scheme val="minor"/>
      </rPr>
      <t>s,min,mec</t>
    </r>
    <r>
      <rPr>
        <sz val="12"/>
        <color theme="1"/>
        <rFont val="Calibri"/>
        <family val="2"/>
        <scheme val="minor"/>
      </rPr>
      <t xml:space="preserve"> =</t>
    </r>
  </si>
  <si>
    <r>
      <t>f</t>
    </r>
    <r>
      <rPr>
        <vertAlign val="subscript"/>
        <sz val="12"/>
        <color theme="1"/>
        <rFont val="Calibri"/>
        <family val="2"/>
        <scheme val="minor"/>
      </rPr>
      <t>yk</t>
    </r>
    <r>
      <rPr>
        <sz val="12"/>
        <color theme="1"/>
        <rFont val="Calibri"/>
        <family val="2"/>
        <scheme val="minor"/>
      </rPr>
      <t>=</t>
    </r>
  </si>
  <si>
    <r>
      <t>γ</t>
    </r>
    <r>
      <rPr>
        <vertAlign val="subscript"/>
        <sz val="12"/>
        <color theme="1"/>
        <rFont val="Calibri"/>
        <family val="2"/>
        <scheme val="minor"/>
      </rPr>
      <t>c</t>
    </r>
    <r>
      <rPr>
        <sz val="12"/>
        <color theme="1"/>
        <rFont val="Calibri"/>
        <family val="2"/>
        <scheme val="minor"/>
      </rPr>
      <t xml:space="preserve"> =</t>
    </r>
  </si>
  <si>
    <r>
      <t>γ</t>
    </r>
    <r>
      <rPr>
        <vertAlign val="subscript"/>
        <sz val="12"/>
        <color theme="1"/>
        <rFont val="Calibri"/>
        <family val="2"/>
        <scheme val="minor"/>
      </rPr>
      <t xml:space="preserve">s </t>
    </r>
    <r>
      <rPr>
        <sz val="12"/>
        <color theme="1"/>
        <rFont val="Calibri"/>
        <family val="2"/>
        <scheme val="minor"/>
      </rPr>
      <t>=</t>
    </r>
  </si>
  <si>
    <r>
      <t>γ</t>
    </r>
    <r>
      <rPr>
        <b/>
        <vertAlign val="subscript"/>
        <sz val="12"/>
        <color theme="1"/>
        <rFont val="Calibri"/>
        <family val="2"/>
        <scheme val="minor"/>
      </rPr>
      <t>lim</t>
    </r>
    <r>
      <rPr>
        <b/>
        <sz val="12"/>
        <color theme="1"/>
        <rFont val="Calibri"/>
        <family val="2"/>
        <scheme val="minor"/>
      </rPr>
      <t xml:space="preserve"> =</t>
    </r>
  </si>
  <si>
    <r>
      <t>Al ser M</t>
    </r>
    <r>
      <rPr>
        <b/>
        <vertAlign val="subscript"/>
        <sz val="12"/>
        <color theme="1"/>
        <rFont val="Calibri"/>
        <family val="2"/>
        <scheme val="minor"/>
      </rPr>
      <t>d</t>
    </r>
  </si>
  <si>
    <r>
      <t>M</t>
    </r>
    <r>
      <rPr>
        <b/>
        <vertAlign val="subscript"/>
        <sz val="12"/>
        <color theme="1"/>
        <rFont val="Calibri"/>
        <family val="2"/>
        <scheme val="minor"/>
      </rPr>
      <t>lim</t>
    </r>
  </si>
  <si>
    <r>
      <t>A</t>
    </r>
    <r>
      <rPr>
        <b/>
        <vertAlign val="subscript"/>
        <sz val="12"/>
        <color theme="1"/>
        <rFont val="Calibri"/>
        <family val="2"/>
        <scheme val="minor"/>
      </rPr>
      <t>s,aprox</t>
    </r>
    <r>
      <rPr>
        <b/>
        <sz val="12"/>
        <color theme="1"/>
        <rFont val="Calibri"/>
        <family val="2"/>
        <scheme val="minor"/>
      </rPr>
      <t>=</t>
    </r>
  </si>
  <si>
    <r>
      <t>Tipo de elemento "A</t>
    </r>
    <r>
      <rPr>
        <b/>
        <vertAlign val="subscript"/>
        <sz val="12"/>
        <color theme="1"/>
        <rFont val="Calibri"/>
        <family val="2"/>
        <scheme val="minor"/>
      </rPr>
      <t>s,min,geo</t>
    </r>
    <r>
      <rPr>
        <b/>
        <sz val="12"/>
        <color theme="1"/>
        <rFont val="Calibri"/>
        <family val="2"/>
        <scheme val="minor"/>
      </rPr>
      <t>"</t>
    </r>
  </si>
  <si>
    <r>
      <t>Armadura mínima geométrica: A</t>
    </r>
    <r>
      <rPr>
        <vertAlign val="subscript"/>
        <sz val="12"/>
        <color theme="1"/>
        <rFont val="Calibri"/>
        <family val="2"/>
        <scheme val="minor"/>
      </rPr>
      <t>s,min,geo</t>
    </r>
    <r>
      <rPr>
        <sz val="12"/>
        <color theme="1"/>
        <rFont val="Calibri"/>
        <family val="2"/>
        <scheme val="minor"/>
      </rPr>
      <t xml:space="preserve"> =</t>
    </r>
  </si>
  <si>
    <t>h=</t>
  </si>
  <si>
    <t>b=</t>
  </si>
  <si>
    <t>r=</t>
  </si>
  <si>
    <t>d=</t>
  </si>
  <si>
    <t>b) Materiales.</t>
  </si>
  <si>
    <t>a) Geometría de la sección.</t>
  </si>
  <si>
    <r>
      <t>M</t>
    </r>
    <r>
      <rPr>
        <b/>
        <vertAlign val="subscript"/>
        <sz val="12"/>
        <color theme="1"/>
        <rFont val="Calibri"/>
        <family val="2"/>
        <scheme val="minor"/>
      </rPr>
      <t>lim</t>
    </r>
    <r>
      <rPr>
        <b/>
        <sz val="12"/>
        <color theme="1"/>
        <rFont val="Calibri"/>
        <family val="2"/>
        <scheme val="minor"/>
      </rPr>
      <t>=</t>
    </r>
  </si>
  <si>
    <t xml:space="preserve">Profundidad límite fibra neutra: </t>
  </si>
  <si>
    <r>
      <t>X</t>
    </r>
    <r>
      <rPr>
        <b/>
        <vertAlign val="subscript"/>
        <sz val="12"/>
        <color theme="1"/>
        <rFont val="Calibri"/>
        <family val="2"/>
        <scheme val="minor"/>
      </rPr>
      <t>lim</t>
    </r>
    <r>
      <rPr>
        <b/>
        <sz val="12"/>
        <color theme="1"/>
        <rFont val="Calibri"/>
        <family val="2"/>
        <scheme val="minor"/>
      </rPr>
      <t>=</t>
    </r>
  </si>
  <si>
    <t>c) Valores característicos de la sección.</t>
  </si>
  <si>
    <r>
      <t>f</t>
    </r>
    <r>
      <rPr>
        <vertAlign val="subscript"/>
        <sz val="12"/>
        <color theme="1"/>
        <rFont val="Calibri"/>
        <family val="2"/>
        <scheme val="minor"/>
      </rPr>
      <t>ck</t>
    </r>
    <r>
      <rPr>
        <sz val="12"/>
        <color theme="1"/>
        <rFont val="Calibri"/>
        <family val="2"/>
        <scheme val="minor"/>
      </rPr>
      <t xml:space="preserve"> =</t>
    </r>
  </si>
  <si>
    <r>
      <t>f</t>
    </r>
    <r>
      <rPr>
        <vertAlign val="subscript"/>
        <sz val="12"/>
        <color theme="1"/>
        <rFont val="Calibri"/>
        <family val="2"/>
        <scheme val="minor"/>
      </rPr>
      <t>cd</t>
    </r>
    <r>
      <rPr>
        <sz val="12"/>
        <color theme="1"/>
        <rFont val="Calibri"/>
        <family val="2"/>
        <scheme val="minor"/>
      </rPr>
      <t>=</t>
    </r>
  </si>
  <si>
    <r>
      <t>f</t>
    </r>
    <r>
      <rPr>
        <vertAlign val="subscript"/>
        <sz val="12"/>
        <color theme="1"/>
        <rFont val="Calibri"/>
        <family val="2"/>
        <scheme val="minor"/>
      </rPr>
      <t>yd</t>
    </r>
    <r>
      <rPr>
        <sz val="12"/>
        <color theme="1"/>
        <rFont val="Calibri"/>
        <family val="2"/>
        <scheme val="minor"/>
      </rPr>
      <t>=</t>
    </r>
  </si>
  <si>
    <t>Momento máximo:</t>
  </si>
  <si>
    <r>
      <t>U</t>
    </r>
    <r>
      <rPr>
        <b/>
        <vertAlign val="subscript"/>
        <sz val="12"/>
        <color theme="1"/>
        <rFont val="Calibri"/>
        <family val="2"/>
        <scheme val="minor"/>
      </rPr>
      <t>c,max</t>
    </r>
    <r>
      <rPr>
        <b/>
        <sz val="12"/>
        <color theme="1"/>
        <rFont val="Calibri"/>
        <family val="2"/>
        <scheme val="minor"/>
      </rPr>
      <t>=</t>
    </r>
  </si>
  <si>
    <r>
      <t>M</t>
    </r>
    <r>
      <rPr>
        <b/>
        <vertAlign val="subscript"/>
        <sz val="12"/>
        <color theme="1"/>
        <rFont val="Calibri"/>
        <family val="2"/>
        <scheme val="minor"/>
      </rPr>
      <t>max</t>
    </r>
    <r>
      <rPr>
        <b/>
        <sz val="12"/>
        <color theme="1"/>
        <rFont val="Calibri"/>
        <family val="2"/>
        <scheme val="minor"/>
      </rPr>
      <t>=</t>
    </r>
  </si>
  <si>
    <t>d) Acciones.</t>
  </si>
  <si>
    <t>Esfuerzos en cdg:</t>
  </si>
  <si>
    <t>Coef. de seguridad</t>
  </si>
  <si>
    <t>Caso a calcular:</t>
  </si>
  <si>
    <t>Esfuerzos de cálculo:</t>
  </si>
  <si>
    <t>Respecto fibra A's</t>
  </si>
  <si>
    <t>N=</t>
  </si>
  <si>
    <t>M=</t>
  </si>
  <si>
    <r>
      <t>γ</t>
    </r>
    <r>
      <rPr>
        <b/>
        <vertAlign val="subscript"/>
        <sz val="12"/>
        <color theme="1"/>
        <rFont val="Calibri"/>
        <family val="2"/>
        <scheme val="minor"/>
      </rPr>
      <t>F</t>
    </r>
    <r>
      <rPr>
        <b/>
        <sz val="12"/>
        <color theme="1"/>
        <rFont val="Calibri"/>
        <family val="2"/>
        <scheme val="minor"/>
      </rPr>
      <t>=</t>
    </r>
  </si>
  <si>
    <t>HA-45</t>
  </si>
  <si>
    <t>HA-50</t>
  </si>
  <si>
    <t>e) Armaduras.</t>
  </si>
  <si>
    <t xml:space="preserve">Por cálculo: </t>
  </si>
  <si>
    <t>Arm. más comprimida</t>
  </si>
  <si>
    <t>Arm. menos comprimida</t>
  </si>
  <si>
    <t>Armaduras mínimas:</t>
  </si>
  <si>
    <t>Mecánicas</t>
  </si>
  <si>
    <t>Geométricas (4‰)</t>
  </si>
  <si>
    <r>
      <t>A</t>
    </r>
    <r>
      <rPr>
        <vertAlign val="subscript"/>
        <sz val="12"/>
        <color theme="1"/>
        <rFont val="Calibri"/>
        <family val="2"/>
        <scheme val="minor"/>
      </rPr>
      <t>s,min,mec</t>
    </r>
    <r>
      <rPr>
        <sz val="12"/>
        <color theme="1"/>
        <rFont val="Calibri"/>
        <family val="2"/>
        <scheme val="minor"/>
      </rPr>
      <t xml:space="preserve"> =</t>
    </r>
  </si>
  <si>
    <r>
      <t>A</t>
    </r>
    <r>
      <rPr>
        <vertAlign val="subscript"/>
        <sz val="12"/>
        <color theme="1"/>
        <rFont val="Calibri"/>
        <family val="2"/>
        <scheme val="minor"/>
      </rPr>
      <t>s,min,geo</t>
    </r>
    <r>
      <rPr>
        <sz val="12"/>
        <color theme="1"/>
        <rFont val="Calibri"/>
        <family val="2"/>
        <scheme val="minor"/>
      </rPr>
      <t xml:space="preserve"> =</t>
    </r>
  </si>
  <si>
    <r>
      <t>A'</t>
    </r>
    <r>
      <rPr>
        <vertAlign val="subscript"/>
        <sz val="12"/>
        <color theme="1"/>
        <rFont val="Calibri"/>
        <family val="2"/>
        <scheme val="minor"/>
      </rPr>
      <t>s,min,mec</t>
    </r>
    <r>
      <rPr>
        <sz val="12"/>
        <color theme="1"/>
        <rFont val="Calibri"/>
        <family val="2"/>
        <scheme val="minor"/>
      </rPr>
      <t xml:space="preserve"> =</t>
    </r>
  </si>
  <si>
    <r>
      <t>A'</t>
    </r>
    <r>
      <rPr>
        <vertAlign val="subscript"/>
        <sz val="12"/>
        <color theme="1"/>
        <rFont val="Calibri"/>
        <family val="2"/>
        <scheme val="minor"/>
      </rPr>
      <t>s</t>
    </r>
    <r>
      <rPr>
        <sz val="12"/>
        <color theme="1"/>
        <rFont val="Calibri"/>
        <family val="2"/>
        <scheme val="minor"/>
      </rPr>
      <t>=</t>
    </r>
  </si>
  <si>
    <r>
      <t>A</t>
    </r>
    <r>
      <rPr>
        <vertAlign val="subscript"/>
        <sz val="12"/>
        <color theme="1"/>
        <rFont val="Calibri"/>
        <family val="2"/>
        <scheme val="minor"/>
      </rPr>
      <t>s</t>
    </r>
    <r>
      <rPr>
        <sz val="12"/>
        <color theme="1"/>
        <rFont val="Calibri"/>
        <family val="2"/>
        <scheme val="minor"/>
      </rPr>
      <t xml:space="preserve"> =</t>
    </r>
  </si>
  <si>
    <t>Armaduras dispuestas:</t>
  </si>
  <si>
    <t>Al estar la sección solicitada a compresión compuesta se dispone armadura simétrica</t>
  </si>
  <si>
    <t>Diámetro usado:</t>
  </si>
  <si>
    <t>Nº barras</t>
  </si>
  <si>
    <r>
      <t>E</t>
    </r>
    <r>
      <rPr>
        <vertAlign val="subscript"/>
        <sz val="12"/>
        <color theme="1"/>
        <rFont val="Calibri"/>
        <family val="2"/>
        <scheme val="minor"/>
      </rPr>
      <t>s=</t>
    </r>
  </si>
  <si>
    <t xml:space="preserve">Caso 1.a </t>
  </si>
  <si>
    <t>Md*&lt;Mlim</t>
  </si>
  <si>
    <t>Caso 1.b</t>
  </si>
  <si>
    <t>Md*&gt;Mlim; y=ylim</t>
  </si>
  <si>
    <t>Calcular (y;As)</t>
  </si>
  <si>
    <t>Calcular (A's;As)</t>
  </si>
  <si>
    <t xml:space="preserve">Caso 2.a </t>
  </si>
  <si>
    <t>Caso 2.b</t>
  </si>
  <si>
    <t>Calcular (y;A's)</t>
  </si>
  <si>
    <t>Md*&lt;Mmax</t>
  </si>
  <si>
    <t>Md*&gt;Mmax; y=h</t>
  </si>
  <si>
    <t>Profundidad límite fibra neutra:</t>
  </si>
  <si>
    <r>
      <t>f</t>
    </r>
    <r>
      <rPr>
        <vertAlign val="subscript"/>
        <sz val="12"/>
        <color theme="1"/>
        <rFont val="Calibri"/>
        <family val="2"/>
        <scheme val="minor"/>
      </rPr>
      <t>yc,d</t>
    </r>
    <r>
      <rPr>
        <sz val="12"/>
        <color theme="1"/>
        <rFont val="Calibri"/>
        <family val="2"/>
        <scheme val="minor"/>
      </rPr>
      <t>=</t>
    </r>
  </si>
  <si>
    <r>
      <t>Excentricidad minima: e</t>
    </r>
    <r>
      <rPr>
        <vertAlign val="subscript"/>
        <sz val="12"/>
        <color theme="1"/>
        <rFont val="Calibri"/>
        <family val="2"/>
        <scheme val="minor"/>
      </rPr>
      <t>min</t>
    </r>
    <r>
      <rPr>
        <sz val="12"/>
        <color theme="1"/>
        <rFont val="Calibri"/>
        <family val="2"/>
        <scheme val="minor"/>
      </rPr>
      <t>=</t>
    </r>
  </si>
  <si>
    <r>
      <t>M</t>
    </r>
    <r>
      <rPr>
        <b/>
        <vertAlign val="superscript"/>
        <sz val="12"/>
        <color theme="1"/>
        <rFont val="Calibri"/>
        <family val="2"/>
        <scheme val="minor"/>
      </rPr>
      <t>*</t>
    </r>
    <r>
      <rPr>
        <b/>
        <vertAlign val="subscript"/>
        <sz val="12"/>
        <color theme="1"/>
        <rFont val="Calibri"/>
        <family val="2"/>
        <scheme val="minor"/>
      </rPr>
      <t>d</t>
    </r>
    <r>
      <rPr>
        <b/>
        <sz val="12"/>
        <color theme="1"/>
        <rFont val="Calibri"/>
        <family val="2"/>
        <scheme val="minor"/>
      </rPr>
      <t>=</t>
    </r>
  </si>
  <si>
    <t>Calculo excentricidades respecto a la armadura</t>
  </si>
  <si>
    <t>Peq exc.</t>
  </si>
  <si>
    <t>FC</t>
  </si>
  <si>
    <t>Indice</t>
  </si>
  <si>
    <t>Excent. a usar:</t>
  </si>
  <si>
    <t>Pequeña exc</t>
  </si>
  <si>
    <t>A's=</t>
  </si>
  <si>
    <t>γ=</t>
  </si>
  <si>
    <r>
      <t>U</t>
    </r>
    <r>
      <rPr>
        <b/>
        <vertAlign val="subscript"/>
        <sz val="11"/>
        <color theme="1"/>
        <rFont val="Calibri"/>
        <family val="2"/>
        <scheme val="minor"/>
      </rPr>
      <t>c</t>
    </r>
    <r>
      <rPr>
        <b/>
        <sz val="11"/>
        <color theme="1"/>
        <rFont val="Calibri"/>
        <family val="2"/>
        <scheme val="minor"/>
      </rPr>
      <t>=</t>
    </r>
  </si>
  <si>
    <r>
      <t>U</t>
    </r>
    <r>
      <rPr>
        <b/>
        <vertAlign val="subscript"/>
        <sz val="11"/>
        <color theme="1"/>
        <rFont val="Calibri"/>
        <family val="2"/>
        <scheme val="minor"/>
      </rPr>
      <t>s</t>
    </r>
    <r>
      <rPr>
        <b/>
        <sz val="11"/>
        <color theme="1"/>
        <rFont val="Calibri"/>
        <family val="2"/>
        <scheme val="minor"/>
      </rPr>
      <t>=</t>
    </r>
  </si>
  <si>
    <r>
      <t xml:space="preserve"> A</t>
    </r>
    <r>
      <rPr>
        <b/>
        <vertAlign val="subscript"/>
        <sz val="11"/>
        <color theme="1"/>
        <rFont val="Calibri"/>
        <family val="2"/>
        <scheme val="minor"/>
      </rPr>
      <t>s</t>
    </r>
    <r>
      <rPr>
        <b/>
        <sz val="11"/>
        <color theme="1"/>
        <rFont val="Calibri"/>
        <family val="2"/>
        <scheme val="minor"/>
      </rPr>
      <t>=</t>
    </r>
  </si>
  <si>
    <r>
      <t>U'</t>
    </r>
    <r>
      <rPr>
        <b/>
        <vertAlign val="subscript"/>
        <sz val="11"/>
        <color theme="1"/>
        <rFont val="Calibri"/>
        <family val="2"/>
        <scheme val="minor"/>
      </rPr>
      <t>s</t>
    </r>
    <r>
      <rPr>
        <b/>
        <sz val="11"/>
        <color theme="1"/>
        <rFont val="Calibri"/>
        <family val="2"/>
        <scheme val="minor"/>
      </rPr>
      <t>=</t>
    </r>
  </si>
  <si>
    <t>CC</t>
  </si>
  <si>
    <r>
      <t>N</t>
    </r>
    <r>
      <rPr>
        <b/>
        <vertAlign val="superscript"/>
        <sz val="12"/>
        <color theme="1"/>
        <rFont val="Calibri"/>
        <family val="2"/>
        <scheme val="minor"/>
      </rPr>
      <t>*</t>
    </r>
    <r>
      <rPr>
        <b/>
        <vertAlign val="subscript"/>
        <sz val="12"/>
        <color theme="1"/>
        <rFont val="Calibri"/>
        <family val="2"/>
        <scheme val="minor"/>
      </rPr>
      <t>d</t>
    </r>
    <r>
      <rPr>
        <b/>
        <sz val="12"/>
        <color theme="1"/>
        <rFont val="Calibri"/>
        <family val="2"/>
        <scheme val="minor"/>
      </rPr>
      <t>=</t>
    </r>
  </si>
  <si>
    <t>Validación</t>
  </si>
  <si>
    <t>Respecto de fibra donde A's</t>
  </si>
  <si>
    <t>Respecto de fibra donde As</t>
  </si>
  <si>
    <t>Arm. menos comprimida As</t>
  </si>
  <si>
    <t>Arm. más comprimida A's</t>
  </si>
  <si>
    <r>
      <t xml:space="preserve"> A</t>
    </r>
    <r>
      <rPr>
        <b/>
        <vertAlign val="subscript"/>
        <sz val="11"/>
        <rFont val="Calibri"/>
        <family val="2"/>
        <scheme val="minor"/>
      </rPr>
      <t>s</t>
    </r>
    <r>
      <rPr>
        <b/>
        <sz val="11"/>
        <rFont val="Calibri"/>
        <family val="2"/>
        <scheme val="minor"/>
      </rPr>
      <t>=</t>
    </r>
  </si>
  <si>
    <r>
      <t>Caso 1    Nd fuera de la seccion (</t>
    </r>
    <r>
      <rPr>
        <b/>
        <sz val="12"/>
        <color rgb="FFFF0000"/>
        <rFont val="Calibri"/>
        <family val="2"/>
        <scheme val="minor"/>
      </rPr>
      <t>gran excentricidad</t>
    </r>
    <r>
      <rPr>
        <b/>
        <sz val="12"/>
        <color theme="1"/>
        <rFont val="Calibri"/>
        <family val="2"/>
        <scheme val="minor"/>
      </rPr>
      <t>) Flexion compuesta</t>
    </r>
  </si>
  <si>
    <r>
      <t>Caso 2    Nd dentro de la seccion  (</t>
    </r>
    <r>
      <rPr>
        <b/>
        <sz val="12"/>
        <color rgb="FFFF0000"/>
        <rFont val="Calibri"/>
        <family val="2"/>
        <scheme val="minor"/>
      </rPr>
      <t>pequeña excentricidad</t>
    </r>
    <r>
      <rPr>
        <b/>
        <sz val="12"/>
        <color theme="1"/>
        <rFont val="Calibri"/>
        <family val="2"/>
        <scheme val="minor"/>
      </rPr>
      <t>) compresion compuesta</t>
    </r>
  </si>
  <si>
    <r>
      <t>e</t>
    </r>
    <r>
      <rPr>
        <b/>
        <vertAlign val="subscript"/>
        <sz val="12"/>
        <color theme="1"/>
        <rFont val="Calibri"/>
        <family val="2"/>
        <scheme val="minor"/>
      </rPr>
      <t>1</t>
    </r>
    <r>
      <rPr>
        <b/>
        <sz val="12"/>
        <color theme="1"/>
        <rFont val="Calibri"/>
        <family val="2"/>
        <scheme val="minor"/>
      </rPr>
      <t>=</t>
    </r>
  </si>
  <si>
    <r>
      <t>e</t>
    </r>
    <r>
      <rPr>
        <b/>
        <vertAlign val="subscript"/>
        <sz val="12"/>
        <color theme="1"/>
        <rFont val="Calibri"/>
        <family val="2"/>
        <scheme val="minor"/>
      </rPr>
      <t>2</t>
    </r>
    <r>
      <rPr>
        <b/>
        <sz val="12"/>
        <color theme="1"/>
        <rFont val="Calibri"/>
        <family val="2"/>
        <scheme val="minor"/>
      </rPr>
      <t>=</t>
    </r>
  </si>
  <si>
    <t>e&lt;h/2 - r</t>
  </si>
  <si>
    <t>e&gt;h/2 -r</t>
  </si>
  <si>
    <r>
      <t>e</t>
    </r>
    <r>
      <rPr>
        <b/>
        <vertAlign val="subscript"/>
        <sz val="12"/>
        <color theme="1"/>
        <rFont val="Calibri"/>
        <family val="2"/>
        <scheme val="minor"/>
      </rPr>
      <t>o</t>
    </r>
    <r>
      <rPr>
        <b/>
        <sz val="12"/>
        <color theme="1"/>
        <rFont val="Calibri"/>
        <family val="2"/>
        <scheme val="minor"/>
      </rPr>
      <t>=</t>
    </r>
  </si>
  <si>
    <r>
      <t>L</t>
    </r>
    <r>
      <rPr>
        <vertAlign val="subscript"/>
        <sz val="12"/>
        <color theme="1"/>
        <rFont val="Calibri"/>
        <family val="2"/>
        <scheme val="minor"/>
      </rPr>
      <t>o</t>
    </r>
    <r>
      <rPr>
        <sz val="12"/>
        <color theme="1"/>
        <rFont val="Calibri"/>
        <family val="2"/>
        <scheme val="minor"/>
      </rPr>
      <t>=</t>
    </r>
  </si>
  <si>
    <t>Coef. de seguridad:</t>
  </si>
  <si>
    <r>
      <t>e</t>
    </r>
    <r>
      <rPr>
        <b/>
        <vertAlign val="subscript"/>
        <sz val="12"/>
        <color theme="1"/>
        <rFont val="Calibri"/>
        <family val="2"/>
        <scheme val="minor"/>
      </rPr>
      <t>ad</t>
    </r>
    <r>
      <rPr>
        <b/>
        <sz val="12"/>
        <color theme="1"/>
        <rFont val="Calibri"/>
        <family val="2"/>
        <scheme val="minor"/>
      </rPr>
      <t>=</t>
    </r>
  </si>
  <si>
    <r>
      <t>N</t>
    </r>
    <r>
      <rPr>
        <b/>
        <vertAlign val="subscript"/>
        <sz val="12"/>
        <color theme="1"/>
        <rFont val="Calibri"/>
        <family val="2"/>
        <scheme val="minor"/>
      </rPr>
      <t>d</t>
    </r>
    <r>
      <rPr>
        <b/>
        <sz val="12"/>
        <color theme="1"/>
        <rFont val="Calibri"/>
        <family val="2"/>
        <scheme val="minor"/>
      </rPr>
      <t>=</t>
    </r>
  </si>
  <si>
    <t>Esbeltez λ=</t>
  </si>
  <si>
    <r>
      <t>Radio de giro i</t>
    </r>
    <r>
      <rPr>
        <vertAlign val="subscript"/>
        <sz val="11"/>
        <color theme="1"/>
        <rFont val="Calibri"/>
        <family val="2"/>
        <scheme val="minor"/>
      </rPr>
      <t>c</t>
    </r>
    <r>
      <rPr>
        <sz val="11"/>
        <color theme="1"/>
        <rFont val="Calibri"/>
        <family val="2"/>
        <scheme val="minor"/>
      </rPr>
      <t>=</t>
    </r>
  </si>
  <si>
    <t>Beta</t>
  </si>
  <si>
    <t>altura H=</t>
  </si>
  <si>
    <t>si λ&lt; λlim</t>
  </si>
  <si>
    <t>si 35&lt;λ&lt; 100</t>
  </si>
  <si>
    <t>si 100&lt;λ&lt; 200</t>
  </si>
  <si>
    <t>No hay porblemas de estabilidad</t>
  </si>
  <si>
    <t>Se aplica metodo simplificado</t>
  </si>
  <si>
    <t>Aplar metodo iterativo por incremento de cargas</t>
  </si>
  <si>
    <r>
      <t>Excentr. 1</t>
    </r>
    <r>
      <rPr>
        <vertAlign val="superscript"/>
        <sz val="12"/>
        <color theme="1"/>
        <rFont val="Calibri"/>
        <family val="2"/>
        <scheme val="minor"/>
      </rPr>
      <t>er</t>
    </r>
    <r>
      <rPr>
        <sz val="12"/>
        <color theme="1"/>
        <rFont val="Calibri"/>
        <family val="2"/>
        <scheme val="minor"/>
      </rPr>
      <t xml:space="preserve"> orden e</t>
    </r>
    <r>
      <rPr>
        <vertAlign val="subscript"/>
        <sz val="12"/>
        <color theme="1"/>
        <rFont val="Calibri"/>
        <family val="2"/>
        <scheme val="minor"/>
      </rPr>
      <t>o</t>
    </r>
    <r>
      <rPr>
        <sz val="12"/>
        <color theme="1"/>
        <rFont val="Calibri"/>
        <family val="2"/>
        <scheme val="minor"/>
      </rPr>
      <t>=</t>
    </r>
  </si>
  <si>
    <t>Disposicion  armaduras</t>
  </si>
  <si>
    <t>Mitad en cada cara</t>
  </si>
  <si>
    <t>Mitad en caras que no trabajan</t>
  </si>
  <si>
    <t xml:space="preserve">Todas las caras por igual </t>
  </si>
  <si>
    <t>Seccion ciruclar con arm distribuida</t>
  </si>
  <si>
    <t>Inercia=</t>
  </si>
  <si>
    <t>Soporte Biempotrado</t>
  </si>
  <si>
    <t>Soporte Biarticulado</t>
  </si>
  <si>
    <t>Soporte Articulado-empotrado</t>
  </si>
  <si>
    <t>Soporte en mensula</t>
  </si>
  <si>
    <t>Soporte biempo. Y extr desplazables</t>
  </si>
  <si>
    <t>Cálculos iterativos. Macros</t>
  </si>
  <si>
    <t>Coeficiente  de pandeo</t>
  </si>
  <si>
    <t>Disposicion de armaduras</t>
  </si>
  <si>
    <t>Tipo de acción</t>
  </si>
  <si>
    <t>Arm. Cara superior A's</t>
  </si>
  <si>
    <t>Arm. Cara inferior As</t>
  </si>
  <si>
    <t>1.a</t>
  </si>
  <si>
    <t>1.b</t>
  </si>
  <si>
    <t>2.a</t>
  </si>
  <si>
    <t>2.b</t>
  </si>
  <si>
    <t xml:space="preserve">ART. 43.5 EHE </t>
  </si>
  <si>
    <t>β=</t>
  </si>
  <si>
    <t>Acero=</t>
  </si>
  <si>
    <t>Excentricidad adicional:</t>
  </si>
  <si>
    <t xml:space="preserve">  </t>
  </si>
  <si>
    <t>1.b) Materiales.</t>
  </si>
  <si>
    <t>1.a Geometría</t>
  </si>
  <si>
    <t>Canto de seccion:</t>
  </si>
  <si>
    <t>Ancho de seccion:</t>
  </si>
  <si>
    <t>Recubrimiento:</t>
  </si>
  <si>
    <t>c=</t>
  </si>
  <si>
    <r>
      <t>r</t>
    </r>
    <r>
      <rPr>
        <vertAlign val="subscript"/>
        <sz val="12"/>
        <color theme="1"/>
        <rFont val="Calibri"/>
        <family val="2"/>
        <scheme val="minor"/>
      </rPr>
      <t>nom</t>
    </r>
    <r>
      <rPr>
        <sz val="12"/>
        <color theme="1"/>
        <rFont val="Calibri"/>
        <family val="2"/>
        <scheme val="minor"/>
      </rPr>
      <t>=</t>
    </r>
  </si>
  <si>
    <r>
      <t>E</t>
    </r>
    <r>
      <rPr>
        <vertAlign val="subscript"/>
        <sz val="12"/>
        <color theme="1"/>
        <rFont val="Calibri"/>
        <family val="2"/>
        <scheme val="minor"/>
      </rPr>
      <t>cm,28</t>
    </r>
    <r>
      <rPr>
        <sz val="12"/>
        <color theme="1"/>
        <rFont val="Calibri"/>
        <family val="2"/>
        <scheme val="minor"/>
      </rPr>
      <t xml:space="preserve"> =</t>
    </r>
  </si>
  <si>
    <t xml:space="preserve"> Nº de barras:</t>
  </si>
  <si>
    <t>1.d) Arm. Long. comprimida:</t>
  </si>
  <si>
    <t>1.c) Arm. Long. Traccion:</t>
  </si>
  <si>
    <t>1.e) Esfuerzon sobre la seccion:</t>
  </si>
  <si>
    <r>
      <t>Cortante en borde de apoyo V</t>
    </r>
    <r>
      <rPr>
        <vertAlign val="subscript"/>
        <sz val="12"/>
        <color theme="1"/>
        <rFont val="Calibri"/>
        <family val="2"/>
        <scheme val="minor"/>
      </rPr>
      <t>d1</t>
    </r>
    <r>
      <rPr>
        <sz val="12"/>
        <color theme="1"/>
        <rFont val="Calibri"/>
        <family val="2"/>
        <scheme val="minor"/>
      </rPr>
      <t>=</t>
    </r>
  </si>
  <si>
    <r>
      <t>Cortante a un canto util  del borde de apoyo V</t>
    </r>
    <r>
      <rPr>
        <vertAlign val="subscript"/>
        <sz val="12"/>
        <color theme="1"/>
        <rFont val="Calibri"/>
        <family val="2"/>
        <scheme val="minor"/>
      </rPr>
      <t>d2</t>
    </r>
    <r>
      <rPr>
        <sz val="12"/>
        <color theme="1"/>
        <rFont val="Calibri"/>
        <family val="2"/>
        <scheme val="minor"/>
      </rPr>
      <t>=</t>
    </r>
  </si>
  <si>
    <t>A=</t>
  </si>
  <si>
    <r>
      <t>p</t>
    </r>
    <r>
      <rPr>
        <vertAlign val="subscript"/>
        <sz val="12"/>
        <color theme="1"/>
        <rFont val="Calibri"/>
        <family val="2"/>
        <scheme val="minor"/>
      </rPr>
      <t>1</t>
    </r>
    <r>
      <rPr>
        <sz val="12"/>
        <color theme="1"/>
        <rFont val="Calibri"/>
        <family val="2"/>
        <scheme val="minor"/>
      </rPr>
      <t>=</t>
    </r>
  </si>
  <si>
    <t>2) Comrobacion a cortante segun art. 44º EHE08:</t>
  </si>
  <si>
    <t>2.a Geometría de la seccion de cálculo</t>
  </si>
  <si>
    <t>Inclinacion de la armadura (α)=</t>
  </si>
  <si>
    <t>Inclinacion bielas comprimidas (θ)=</t>
  </si>
  <si>
    <t>K=</t>
  </si>
  <si>
    <r>
      <t>V</t>
    </r>
    <r>
      <rPr>
        <vertAlign val="subscript"/>
        <sz val="12"/>
        <color theme="1"/>
        <rFont val="Calibri"/>
        <family val="2"/>
        <scheme val="minor"/>
      </rPr>
      <t>u1</t>
    </r>
    <r>
      <rPr>
        <sz val="12"/>
        <color theme="1"/>
        <rFont val="Calibri"/>
        <family val="2"/>
        <scheme val="minor"/>
      </rPr>
      <t>=</t>
    </r>
  </si>
  <si>
    <t>2.b Comprobacion bielas comprimidas.</t>
  </si>
  <si>
    <t>2.c Comprobacion tracción en el alma.</t>
  </si>
  <si>
    <r>
      <t>V</t>
    </r>
    <r>
      <rPr>
        <vertAlign val="subscript"/>
        <sz val="12"/>
        <color theme="1"/>
        <rFont val="Calibri"/>
        <family val="2"/>
        <scheme val="minor"/>
      </rPr>
      <t>d2</t>
    </r>
    <r>
      <rPr>
        <sz val="12"/>
        <color theme="1"/>
        <rFont val="Calibri"/>
        <family val="2"/>
        <scheme val="minor"/>
      </rPr>
      <t>&lt;V</t>
    </r>
    <r>
      <rPr>
        <vertAlign val="subscript"/>
        <sz val="12"/>
        <color theme="1"/>
        <rFont val="Calibri"/>
        <family val="2"/>
        <scheme val="minor"/>
      </rPr>
      <t>u2</t>
    </r>
  </si>
  <si>
    <t>tipo de solicitacion:</t>
  </si>
  <si>
    <t>Region fisurada</t>
  </si>
  <si>
    <r>
      <t>V</t>
    </r>
    <r>
      <rPr>
        <vertAlign val="subscript"/>
        <sz val="12"/>
        <color theme="1"/>
        <rFont val="Calibri"/>
        <family val="2"/>
        <scheme val="minor"/>
      </rPr>
      <t>u2</t>
    </r>
    <r>
      <rPr>
        <sz val="12"/>
        <color theme="1"/>
        <rFont val="Calibri"/>
        <family val="2"/>
        <scheme val="minor"/>
      </rPr>
      <t>=</t>
    </r>
  </si>
  <si>
    <r>
      <t>V</t>
    </r>
    <r>
      <rPr>
        <vertAlign val="subscript"/>
        <sz val="12"/>
        <color theme="1"/>
        <rFont val="Calibri"/>
        <family val="2"/>
        <scheme val="minor"/>
      </rPr>
      <t>cu</t>
    </r>
    <r>
      <rPr>
        <sz val="12"/>
        <color theme="1"/>
        <rFont val="Calibri"/>
        <family val="2"/>
        <scheme val="minor"/>
      </rPr>
      <t>=</t>
    </r>
  </si>
  <si>
    <r>
      <t>V</t>
    </r>
    <r>
      <rPr>
        <vertAlign val="subscript"/>
        <sz val="12"/>
        <color theme="1"/>
        <rFont val="Calibri"/>
        <family val="2"/>
        <scheme val="minor"/>
      </rPr>
      <t>su</t>
    </r>
    <r>
      <rPr>
        <sz val="12"/>
        <color theme="1"/>
        <rFont val="Calibri"/>
        <family val="2"/>
        <scheme val="minor"/>
      </rPr>
      <t>=</t>
    </r>
  </si>
  <si>
    <r>
      <t>A</t>
    </r>
    <r>
      <rPr>
        <vertAlign val="subscript"/>
        <sz val="12"/>
        <color theme="1"/>
        <rFont val="Calibri"/>
        <family val="2"/>
        <scheme val="minor"/>
      </rPr>
      <t>α</t>
    </r>
    <r>
      <rPr>
        <sz val="12"/>
        <color theme="1"/>
        <rFont val="Calibri"/>
        <family val="2"/>
        <scheme val="minor"/>
      </rPr>
      <t>=</t>
    </r>
  </si>
  <si>
    <t>2.d Disposicion de armaduras.</t>
  </si>
  <si>
    <t>Diametro armadura transversal:</t>
  </si>
  <si>
    <t>Cuantia armadura dispuesta:</t>
  </si>
  <si>
    <t>Elemento lineal</t>
  </si>
  <si>
    <t>Cuantia min. arm.:</t>
  </si>
  <si>
    <t>Numero de ramas verticales por seccion St: n=</t>
  </si>
  <si>
    <t>Sep cercos: St=</t>
  </si>
  <si>
    <t>Numero de ramas a disponer en seccion:</t>
  </si>
  <si>
    <t>Separaciones max. entre planos  de armado:</t>
  </si>
  <si>
    <t>n=</t>
  </si>
  <si>
    <r>
      <t>St</t>
    </r>
    <r>
      <rPr>
        <sz val="12"/>
        <color theme="1"/>
        <rFont val="Calibri"/>
        <family val="2"/>
      </rPr>
      <t>≤</t>
    </r>
  </si>
  <si>
    <t>sep. entre planos armados para cuantias min:</t>
  </si>
  <si>
    <t>sep. adoptada entre planos  de arm. min:</t>
  </si>
  <si>
    <t>Cuantia min adoptada:</t>
  </si>
  <si>
    <t>2.e Disposicion de armaduras.</t>
  </si>
  <si>
    <t>St=</t>
  </si>
  <si>
    <r>
      <t>A</t>
    </r>
    <r>
      <rPr>
        <b/>
        <vertAlign val="subscript"/>
        <sz val="12"/>
        <color theme="1"/>
        <rFont val="Calibri"/>
        <family val="2"/>
        <scheme val="minor"/>
      </rPr>
      <t>α,disp</t>
    </r>
    <r>
      <rPr>
        <b/>
        <sz val="12"/>
        <color theme="1"/>
        <rFont val="Calibri"/>
        <family val="2"/>
        <scheme val="minor"/>
      </rPr>
      <t>=</t>
    </r>
  </si>
  <si>
    <t>KN/cm²  *10  =  N/mm²</t>
  </si>
  <si>
    <r>
      <t>Excentricidad ficticia de 2º orden: e</t>
    </r>
    <r>
      <rPr>
        <vertAlign val="subscript"/>
        <sz val="12"/>
        <color theme="1"/>
        <rFont val="Calibri"/>
        <family val="2"/>
        <scheme val="minor"/>
      </rPr>
      <t>o</t>
    </r>
    <r>
      <rPr>
        <sz val="12"/>
        <color theme="1"/>
        <rFont val="Calibri"/>
        <family val="2"/>
        <scheme val="minor"/>
      </rPr>
      <t>=</t>
    </r>
  </si>
  <si>
    <r>
      <t>Acortamiento max hormigón:</t>
    </r>
    <r>
      <rPr>
        <b/>
        <sz val="12"/>
        <color theme="1"/>
        <rFont val="Calibri"/>
        <family val="2"/>
        <scheme val="minor"/>
      </rPr>
      <t xml:space="preserve"> εc=</t>
    </r>
  </si>
  <si>
    <t>Canto (c) =</t>
  </si>
  <si>
    <t xml:space="preserve">                     </t>
  </si>
  <si>
    <t>Traccionada</t>
  </si>
  <si>
    <t>Comprida</t>
  </si>
  <si>
    <r>
      <t xml:space="preserve">Profundidad de fibra neutra: </t>
    </r>
    <r>
      <rPr>
        <b/>
        <sz val="12"/>
        <rFont val="Calibri"/>
        <family val="2"/>
        <scheme val="minor"/>
      </rPr>
      <t>X</t>
    </r>
    <r>
      <rPr>
        <sz val="12"/>
        <rFont val="Calibri"/>
        <family val="2"/>
        <scheme val="minor"/>
      </rPr>
      <t xml:space="preserve">= </t>
    </r>
  </si>
  <si>
    <t>Para Momento positivo</t>
  </si>
  <si>
    <t>1/5 Vu1=</t>
  </si>
  <si>
    <t>2/3 Vu1=</t>
  </si>
  <si>
    <t>1/5 Vu1&lt;=Vrd &lt;= 2/3 Vu1</t>
  </si>
  <si>
    <t>Vrd&lt;= 1/5 Vu1</t>
  </si>
  <si>
    <t>Vrd &gt;= 2/3 Vu1</t>
  </si>
  <si>
    <t>Ø Cercos=</t>
  </si>
  <si>
    <r>
      <t>f</t>
    </r>
    <r>
      <rPr>
        <vertAlign val="subscript"/>
        <sz val="12"/>
        <color theme="1"/>
        <rFont val="Calibri"/>
        <family val="2"/>
        <scheme val="minor"/>
      </rPr>
      <t>ya,d</t>
    </r>
    <r>
      <rPr>
        <sz val="12"/>
        <color theme="1"/>
        <rFont val="Calibri"/>
        <family val="2"/>
        <scheme val="minor"/>
      </rPr>
      <t>=</t>
    </r>
  </si>
  <si>
    <t>Armados disponibles</t>
  </si>
  <si>
    <t>Ud</t>
  </si>
  <si>
    <t>Sep. transv min entre ramas de seccion</t>
  </si>
  <si>
    <r>
      <t>V</t>
    </r>
    <r>
      <rPr>
        <b/>
        <vertAlign val="subscript"/>
        <sz val="12"/>
        <color theme="1"/>
        <rFont val="Calibri"/>
        <family val="2"/>
        <scheme val="minor"/>
      </rPr>
      <t>su</t>
    </r>
    <r>
      <rPr>
        <b/>
        <sz val="12"/>
        <color theme="1"/>
        <rFont val="Calibri"/>
        <family val="2"/>
        <scheme val="minor"/>
      </rPr>
      <t>=</t>
    </r>
  </si>
  <si>
    <r>
      <t>V</t>
    </r>
    <r>
      <rPr>
        <b/>
        <vertAlign val="subscript"/>
        <sz val="12"/>
        <color theme="1"/>
        <rFont val="Calibri"/>
        <family val="2"/>
        <scheme val="minor"/>
      </rPr>
      <t>u2</t>
    </r>
    <r>
      <rPr>
        <b/>
        <sz val="12"/>
        <color theme="1"/>
        <rFont val="Calibri"/>
        <family val="2"/>
        <scheme val="minor"/>
      </rPr>
      <t>=</t>
    </r>
  </si>
  <si>
    <t>Cortante resistido con amr. Min:</t>
  </si>
  <si>
    <r>
      <t>A</t>
    </r>
    <r>
      <rPr>
        <b/>
        <vertAlign val="subscript"/>
        <sz val="12"/>
        <color theme="1"/>
        <rFont val="Calibri"/>
        <family val="2"/>
        <scheme val="minor"/>
      </rPr>
      <t>α,min</t>
    </r>
    <r>
      <rPr>
        <b/>
        <sz val="12"/>
        <color theme="1"/>
        <rFont val="Calibri"/>
        <family val="2"/>
        <scheme val="minor"/>
      </rPr>
      <t>=</t>
    </r>
  </si>
  <si>
    <r>
      <t>A</t>
    </r>
    <r>
      <rPr>
        <b/>
        <vertAlign val="subscript"/>
        <sz val="11"/>
        <color theme="1"/>
        <rFont val="Calibri"/>
        <family val="2"/>
        <scheme val="minor"/>
      </rPr>
      <t>s</t>
    </r>
    <r>
      <rPr>
        <b/>
        <sz val="11"/>
        <color theme="1"/>
        <rFont val="Calibri"/>
        <family val="2"/>
        <scheme val="minor"/>
      </rPr>
      <t>=</t>
    </r>
  </si>
  <si>
    <t>Caso</t>
  </si>
  <si>
    <t>Repeticiones</t>
  </si>
  <si>
    <r>
      <t>f</t>
    </r>
    <r>
      <rPr>
        <vertAlign val="subscript"/>
        <sz val="12"/>
        <rFont val="Calibri"/>
        <family val="2"/>
        <scheme val="minor"/>
      </rPr>
      <t>ct,d</t>
    </r>
    <r>
      <rPr>
        <sz val="12"/>
        <rFont val="Calibri"/>
        <family val="2"/>
        <scheme val="minor"/>
      </rPr>
      <t>=</t>
    </r>
  </si>
  <si>
    <r>
      <t xml:space="preserve">Canto util de la seccion     </t>
    </r>
    <r>
      <rPr>
        <b/>
        <sz val="11"/>
        <color theme="1"/>
        <rFont val="Calibri"/>
        <family val="2"/>
        <scheme val="minor"/>
      </rPr>
      <t>d=</t>
    </r>
    <r>
      <rPr>
        <sz val="11"/>
        <color theme="1"/>
        <rFont val="Calibri"/>
        <family val="2"/>
        <scheme val="minor"/>
      </rPr>
      <t xml:space="preserve"> </t>
    </r>
  </si>
  <si>
    <r>
      <rPr>
        <sz val="11"/>
        <color theme="1"/>
        <rFont val="Calibri"/>
        <family val="2"/>
        <scheme val="minor"/>
      </rPr>
      <t xml:space="preserve">Ancho de la seccion  </t>
    </r>
    <r>
      <rPr>
        <b/>
        <sz val="11"/>
        <color theme="1"/>
        <rFont val="Calibri"/>
        <family val="2"/>
        <scheme val="minor"/>
      </rPr>
      <t xml:space="preserve"> bo=</t>
    </r>
  </si>
  <si>
    <t>1) Datos:</t>
  </si>
  <si>
    <t>1.a Esfuerzos en la junta</t>
  </si>
  <si>
    <t>Esfuerzo normal a la junta:   Nd =</t>
  </si>
  <si>
    <t>Cortante de calculo en la junta:   Vd =</t>
  </si>
  <si>
    <t>Efectos dinamicos o sismo:</t>
  </si>
  <si>
    <t>1.b Dimensiones y tipo de  la junta.</t>
  </si>
  <si>
    <t>Ancho:  S=</t>
  </si>
  <si>
    <t>Canto:  p=</t>
  </si>
  <si>
    <t>Esp. elem donde anclar:  E=</t>
  </si>
  <si>
    <t>1.c Materiales</t>
  </si>
  <si>
    <r>
      <t>γ</t>
    </r>
    <r>
      <rPr>
        <vertAlign val="subscript"/>
        <sz val="11"/>
        <color theme="1"/>
        <rFont val="Calibri"/>
        <family val="2"/>
        <scheme val="minor"/>
      </rPr>
      <t>c</t>
    </r>
    <r>
      <rPr>
        <sz val="11"/>
        <color theme="1"/>
        <rFont val="Calibri"/>
        <family val="2"/>
        <scheme val="minor"/>
      </rPr>
      <t xml:space="preserve"> =</t>
    </r>
  </si>
  <si>
    <r>
      <t>γ</t>
    </r>
    <r>
      <rPr>
        <vertAlign val="subscript"/>
        <sz val="11"/>
        <color theme="1"/>
        <rFont val="Calibri"/>
        <family val="2"/>
        <scheme val="minor"/>
      </rPr>
      <t xml:space="preserve">s </t>
    </r>
    <r>
      <rPr>
        <sz val="11"/>
        <color theme="1"/>
        <rFont val="Calibri"/>
        <family val="2"/>
        <scheme val="minor"/>
      </rPr>
      <t>=</t>
    </r>
  </si>
  <si>
    <t>Coef. Seguridad:</t>
  </si>
  <si>
    <t>Resist. Calculo:</t>
  </si>
  <si>
    <t>1.d Armadura en la junta</t>
  </si>
  <si>
    <t>Diametro armadura:</t>
  </si>
  <si>
    <t>Nº redondos:</t>
  </si>
  <si>
    <r>
      <t>A</t>
    </r>
    <r>
      <rPr>
        <b/>
        <vertAlign val="subscript"/>
        <sz val="12"/>
        <color theme="1"/>
        <rFont val="Calibri"/>
        <family val="2"/>
        <scheme val="minor"/>
      </rPr>
      <t>α,disp</t>
    </r>
    <r>
      <rPr>
        <b/>
        <sz val="12"/>
        <color theme="1"/>
        <rFont val="Calibri"/>
        <family val="2"/>
        <scheme val="minor"/>
      </rPr>
      <t>/A</t>
    </r>
    <r>
      <rPr>
        <b/>
        <vertAlign val="subscript"/>
        <sz val="12"/>
        <color theme="1"/>
        <rFont val="Calibri"/>
        <family val="2"/>
        <scheme val="minor"/>
      </rPr>
      <t>s,real</t>
    </r>
    <r>
      <rPr>
        <b/>
        <sz val="12"/>
        <color theme="1"/>
        <rFont val="Calibri"/>
        <family val="2"/>
        <scheme val="minor"/>
      </rPr>
      <t>=</t>
    </r>
  </si>
  <si>
    <r>
      <t>Longitud de anclaje:  L</t>
    </r>
    <r>
      <rPr>
        <vertAlign val="subscript"/>
        <sz val="12"/>
        <rFont val="Calibri"/>
        <family val="2"/>
        <scheme val="minor"/>
      </rPr>
      <t>a</t>
    </r>
    <r>
      <rPr>
        <sz val="12"/>
        <rFont val="Calibri"/>
        <family val="2"/>
        <scheme val="minor"/>
      </rPr>
      <t>=</t>
    </r>
  </si>
  <si>
    <r>
      <t>A</t>
    </r>
    <r>
      <rPr>
        <vertAlign val="subscript"/>
        <sz val="12"/>
        <color theme="1"/>
        <rFont val="Calibri"/>
        <family val="2"/>
        <scheme val="minor"/>
      </rPr>
      <t>α,disp</t>
    </r>
    <r>
      <rPr>
        <sz val="12"/>
        <color theme="1"/>
        <rFont val="Calibri"/>
        <family val="2"/>
        <scheme val="minor"/>
      </rPr>
      <t>=</t>
    </r>
  </si>
  <si>
    <r>
      <t>A</t>
    </r>
    <r>
      <rPr>
        <vertAlign val="subscript"/>
        <sz val="12"/>
        <color theme="1"/>
        <rFont val="Calibri"/>
        <family val="2"/>
        <scheme val="minor"/>
      </rPr>
      <t>s,real</t>
    </r>
    <r>
      <rPr>
        <sz val="12"/>
        <color theme="1"/>
        <rFont val="Calibri"/>
        <family val="2"/>
        <scheme val="minor"/>
      </rPr>
      <t>=</t>
    </r>
  </si>
  <si>
    <t>2) Esfuerzo rasante de calculo:</t>
  </si>
  <si>
    <t>𝜇=</t>
  </si>
  <si>
    <r>
      <t>τ</t>
    </r>
    <r>
      <rPr>
        <vertAlign val="subscript"/>
        <sz val="12"/>
        <rFont val="Calibri"/>
        <family val="2"/>
        <scheme val="minor"/>
      </rPr>
      <t>rd</t>
    </r>
    <r>
      <rPr>
        <sz val="12"/>
        <rFont val="Calibri"/>
        <family val="2"/>
        <scheme val="minor"/>
      </rPr>
      <t>=</t>
    </r>
  </si>
  <si>
    <t>3) Resistencia por friccion del hormigon:</t>
  </si>
  <si>
    <r>
      <t>τ</t>
    </r>
    <r>
      <rPr>
        <vertAlign val="subscript"/>
        <sz val="12"/>
        <rFont val="Calibri"/>
        <family val="2"/>
        <scheme val="minor"/>
      </rPr>
      <t>hd</t>
    </r>
    <r>
      <rPr>
        <sz val="12"/>
        <rFont val="Calibri"/>
        <family val="2"/>
        <scheme val="minor"/>
      </rPr>
      <t>=</t>
    </r>
  </si>
  <si>
    <t>β*∆*fct,d + 𝜇*𝜎cd</t>
  </si>
  <si>
    <t>𝜎cd=</t>
  </si>
  <si>
    <t>∆=</t>
  </si>
  <si>
    <t>Como 2.5 * β*∆*fct,d</t>
  </si>
  <si>
    <t>&lt;</t>
  </si>
  <si>
    <r>
      <t>τ</t>
    </r>
    <r>
      <rPr>
        <vertAlign val="subscript"/>
        <sz val="12"/>
        <rFont val="Calibri"/>
        <family val="2"/>
        <scheme val="minor"/>
      </rPr>
      <t>rd</t>
    </r>
  </si>
  <si>
    <t>4) Resistencia por armadura pasante:</t>
  </si>
  <si>
    <t>5) Resistencia total de la junta :</t>
  </si>
  <si>
    <t>6) Resistencia limite de la junta:</t>
  </si>
  <si>
    <t>fya,d=</t>
  </si>
  <si>
    <r>
      <t>τ</t>
    </r>
    <r>
      <rPr>
        <vertAlign val="subscript"/>
        <sz val="12"/>
        <rFont val="Calibri"/>
        <family val="2"/>
        <scheme val="minor"/>
      </rPr>
      <t>sd</t>
    </r>
    <r>
      <rPr>
        <sz val="12"/>
        <rFont val="Calibri"/>
        <family val="2"/>
        <scheme val="minor"/>
      </rPr>
      <t>=</t>
    </r>
  </si>
  <si>
    <r>
      <t>τ</t>
    </r>
    <r>
      <rPr>
        <vertAlign val="subscript"/>
        <sz val="12"/>
        <rFont val="Calibri"/>
        <family val="2"/>
        <scheme val="minor"/>
      </rPr>
      <t>ru</t>
    </r>
    <r>
      <rPr>
        <sz val="12"/>
        <rFont val="Calibri"/>
        <family val="2"/>
        <scheme val="minor"/>
      </rPr>
      <t>=</t>
    </r>
  </si>
  <si>
    <r>
      <t>τ</t>
    </r>
    <r>
      <rPr>
        <vertAlign val="subscript"/>
        <sz val="12"/>
        <rFont val="Calibri"/>
        <family val="2"/>
        <scheme val="minor"/>
      </rPr>
      <t>ru</t>
    </r>
  </si>
  <si>
    <r>
      <t>τ</t>
    </r>
    <r>
      <rPr>
        <vertAlign val="subscript"/>
        <sz val="12"/>
        <rFont val="Calibri"/>
        <family val="2"/>
        <scheme val="minor"/>
      </rPr>
      <t>ru,max</t>
    </r>
    <r>
      <rPr>
        <sz val="12"/>
        <rFont val="Calibri"/>
        <family val="2"/>
        <scheme val="minor"/>
      </rPr>
      <t xml:space="preserve"> =</t>
    </r>
  </si>
  <si>
    <t>Criterios de separación de cercos</t>
  </si>
  <si>
    <r>
      <t>V</t>
    </r>
    <r>
      <rPr>
        <vertAlign val="subscript"/>
        <sz val="12"/>
        <color theme="1"/>
        <rFont val="Calibri"/>
        <family val="2"/>
        <scheme val="minor"/>
      </rPr>
      <t>d1</t>
    </r>
  </si>
  <si>
    <r>
      <t>V</t>
    </r>
    <r>
      <rPr>
        <vertAlign val="subscript"/>
        <sz val="12"/>
        <color theme="1"/>
        <rFont val="Calibri"/>
        <family val="2"/>
        <scheme val="minor"/>
      </rPr>
      <t>d2</t>
    </r>
  </si>
  <si>
    <r>
      <t>V</t>
    </r>
    <r>
      <rPr>
        <vertAlign val="subscript"/>
        <sz val="12"/>
        <color theme="1"/>
        <rFont val="Calibri"/>
        <family val="2"/>
        <scheme val="minor"/>
      </rPr>
      <t>u2</t>
    </r>
  </si>
  <si>
    <r>
      <t xml:space="preserve"> </t>
    </r>
    <r>
      <rPr>
        <sz val="12"/>
        <color theme="1"/>
        <rFont val="Calibri"/>
        <family val="2"/>
      </rPr>
      <t>β=</t>
    </r>
  </si>
  <si>
    <t>Tipo de superficie</t>
  </si>
  <si>
    <r>
      <t xml:space="preserve"> </t>
    </r>
    <r>
      <rPr>
        <sz val="12"/>
        <color theme="1"/>
        <rFont val="Calibri"/>
        <family val="2"/>
      </rPr>
      <t>β</t>
    </r>
  </si>
  <si>
    <t>𝜇</t>
  </si>
  <si>
    <t>Baja</t>
  </si>
  <si>
    <t>Alta</t>
  </si>
  <si>
    <t>Rugosidad</t>
  </si>
  <si>
    <t>Tipo de rugosidad</t>
  </si>
  <si>
    <r>
      <t xml:space="preserve">Ángulo de la armadura </t>
    </r>
    <r>
      <rPr>
        <sz val="12"/>
        <rFont val="Calibri"/>
        <family val="2"/>
      </rPr>
      <t>α</t>
    </r>
    <r>
      <rPr>
        <sz val="12"/>
        <rFont val="Calibri"/>
        <family val="2"/>
        <scheme val="minor"/>
      </rPr>
      <t>:</t>
    </r>
  </si>
  <si>
    <t>Cuantia de armado   p=</t>
  </si>
  <si>
    <t>Separacion media fisuras:</t>
  </si>
  <si>
    <t>Inercia bruta (sec. no fisurada):</t>
  </si>
  <si>
    <t>Profun. f.n sec fisurada:</t>
  </si>
  <si>
    <t>Brazo mecanico :</t>
  </si>
  <si>
    <t>Inercia fisurada:</t>
  </si>
  <si>
    <t>Resis. tracc. med  horm.  en flex:</t>
  </si>
  <si>
    <t>Momento fisuracion:</t>
  </si>
  <si>
    <t>𝜎cr=</t>
  </si>
  <si>
    <t>𝜎sr=</t>
  </si>
  <si>
    <r>
      <t>f</t>
    </r>
    <r>
      <rPr>
        <vertAlign val="subscript"/>
        <sz val="12"/>
        <color theme="1"/>
        <rFont val="Calibri"/>
        <family val="2"/>
        <scheme val="minor"/>
      </rPr>
      <t>ct,m,fl</t>
    </r>
    <r>
      <rPr>
        <sz val="12"/>
        <color theme="1"/>
        <rFont val="Calibri"/>
        <family val="2"/>
        <scheme val="minor"/>
      </rPr>
      <t>=</t>
    </r>
  </si>
  <si>
    <r>
      <t>I</t>
    </r>
    <r>
      <rPr>
        <vertAlign val="subscript"/>
        <sz val="12"/>
        <color theme="1"/>
        <rFont val="Calibri"/>
        <family val="2"/>
        <scheme val="minor"/>
      </rPr>
      <t>fis</t>
    </r>
    <r>
      <rPr>
        <sz val="12"/>
        <color theme="1"/>
        <rFont val="Calibri"/>
        <family val="2"/>
        <scheme val="minor"/>
      </rPr>
      <t>=</t>
    </r>
  </si>
  <si>
    <t>z=</t>
  </si>
  <si>
    <t>x=</t>
  </si>
  <si>
    <r>
      <t>A</t>
    </r>
    <r>
      <rPr>
        <vertAlign val="subscript"/>
        <sz val="12"/>
        <color theme="1"/>
        <rFont val="Calibri"/>
        <family val="2"/>
        <scheme val="minor"/>
      </rPr>
      <t>c,eff</t>
    </r>
    <r>
      <rPr>
        <sz val="12"/>
        <color theme="1"/>
        <rFont val="Calibri"/>
        <family val="2"/>
        <scheme val="minor"/>
      </rPr>
      <t>=</t>
    </r>
  </si>
  <si>
    <r>
      <t>S</t>
    </r>
    <r>
      <rPr>
        <vertAlign val="subscript"/>
        <sz val="12"/>
        <color theme="1"/>
        <rFont val="Calibri"/>
        <family val="2"/>
        <scheme val="minor"/>
      </rPr>
      <t>m</t>
    </r>
    <r>
      <rPr>
        <sz val="12"/>
        <color theme="1"/>
        <rFont val="Calibri"/>
        <family val="2"/>
        <scheme val="minor"/>
      </rPr>
      <t>=</t>
    </r>
  </si>
  <si>
    <r>
      <t>I</t>
    </r>
    <r>
      <rPr>
        <vertAlign val="subscript"/>
        <sz val="12"/>
        <color theme="1"/>
        <rFont val="Calibri"/>
        <family val="2"/>
        <scheme val="minor"/>
      </rPr>
      <t>b</t>
    </r>
    <r>
      <rPr>
        <sz val="12"/>
        <color theme="1"/>
        <rFont val="Calibri"/>
        <family val="2"/>
        <scheme val="minor"/>
      </rPr>
      <t>=</t>
    </r>
  </si>
  <si>
    <t>𝜎 en hormigon al aplicar Mfis en sec fis:</t>
  </si>
  <si>
    <t>Alargamiento media de armaduras:</t>
  </si>
  <si>
    <t>Apertura de fisuras caracteristicas:</t>
  </si>
  <si>
    <t>b) Calculos apertura fisura caracteristica wk:</t>
  </si>
  <si>
    <t>a) Datos</t>
  </si>
  <si>
    <t>Geometría.</t>
  </si>
  <si>
    <r>
      <t>M</t>
    </r>
    <r>
      <rPr>
        <vertAlign val="subscript"/>
        <sz val="12"/>
        <color theme="1"/>
        <rFont val="Calibri"/>
        <family val="2"/>
        <scheme val="minor"/>
      </rPr>
      <t>k</t>
    </r>
    <r>
      <rPr>
        <sz val="12"/>
        <color theme="1"/>
        <rFont val="Calibri"/>
        <family val="2"/>
        <scheme val="minor"/>
      </rPr>
      <t>=</t>
    </r>
  </si>
  <si>
    <t>Apertura fisura limite.</t>
  </si>
  <si>
    <r>
      <t>W</t>
    </r>
    <r>
      <rPr>
        <vertAlign val="subscript"/>
        <sz val="12"/>
        <color theme="1"/>
        <rFont val="Calibri"/>
        <family val="2"/>
        <scheme val="minor"/>
      </rPr>
      <t>Lim</t>
    </r>
    <r>
      <rPr>
        <sz val="12"/>
        <color theme="1"/>
        <rFont val="Calibri"/>
        <family val="2"/>
        <scheme val="minor"/>
      </rPr>
      <t>=</t>
    </r>
  </si>
  <si>
    <t>Materiales:</t>
  </si>
  <si>
    <t>Coef. eq: n=</t>
  </si>
  <si>
    <t xml:space="preserve">Armadura: </t>
  </si>
  <si>
    <t xml:space="preserve">  Longitud traccionada: As    Num filas=</t>
  </si>
  <si>
    <r>
      <t xml:space="preserve">Diam.:Ø </t>
    </r>
    <r>
      <rPr>
        <vertAlign val="subscript"/>
        <sz val="11"/>
        <color theme="1"/>
        <rFont val="Calibri"/>
        <family val="2"/>
        <scheme val="minor"/>
      </rPr>
      <t>inf</t>
    </r>
    <r>
      <rPr>
        <sz val="11"/>
        <color theme="1"/>
        <rFont val="Calibri"/>
        <family val="2"/>
        <scheme val="minor"/>
      </rPr>
      <t>=</t>
    </r>
  </si>
  <si>
    <t>Num barras en fila=</t>
  </si>
  <si>
    <t>Sep horizontales entre ejes de barras: s=</t>
  </si>
  <si>
    <t>Recubrimiento mecanico: d'=</t>
  </si>
  <si>
    <t>p=</t>
  </si>
  <si>
    <t>Sep vertical entre caras de barras long. de cada capa: m=</t>
  </si>
  <si>
    <r>
      <t>Diametro armadura tranversal: Ø</t>
    </r>
    <r>
      <rPr>
        <vertAlign val="subscript"/>
        <sz val="11"/>
        <color theme="1"/>
        <rFont val="Calibri"/>
        <family val="2"/>
        <scheme val="minor"/>
      </rPr>
      <t>t</t>
    </r>
    <r>
      <rPr>
        <sz val="11"/>
        <color theme="1"/>
        <rFont val="Calibri"/>
        <family val="2"/>
        <scheme val="minor"/>
      </rPr>
      <t>=</t>
    </r>
  </si>
  <si>
    <t xml:space="preserve">Hip. Calculo: </t>
  </si>
  <si>
    <t xml:space="preserve">Viga: </t>
  </si>
  <si>
    <t>Flexion simple</t>
  </si>
  <si>
    <r>
      <t>K</t>
    </r>
    <r>
      <rPr>
        <vertAlign val="subscript"/>
        <sz val="12"/>
        <color theme="1"/>
        <rFont val="Calibri"/>
        <family val="2"/>
        <scheme val="minor"/>
      </rPr>
      <t>1</t>
    </r>
    <r>
      <rPr>
        <sz val="12"/>
        <color theme="1"/>
        <rFont val="Calibri"/>
        <family val="2"/>
        <scheme val="minor"/>
      </rPr>
      <t>=</t>
    </r>
  </si>
  <si>
    <t xml:space="preserve">Tipo accs: </t>
  </si>
  <si>
    <t>Directas</t>
  </si>
  <si>
    <r>
      <t>K</t>
    </r>
    <r>
      <rPr>
        <vertAlign val="subscript"/>
        <sz val="12"/>
        <color theme="1"/>
        <rFont val="Calibri"/>
        <family val="2"/>
        <scheme val="minor"/>
      </rPr>
      <t>2</t>
    </r>
    <r>
      <rPr>
        <sz val="12"/>
        <color theme="1"/>
        <rFont val="Calibri"/>
        <family val="2"/>
        <scheme val="minor"/>
      </rPr>
      <t>=</t>
    </r>
  </si>
  <si>
    <t xml:space="preserve">  Longitud comprimida: A's    Num filas=</t>
  </si>
  <si>
    <t>p2=</t>
  </si>
  <si>
    <t>Cuantía armadura en compresion: Az=</t>
  </si>
  <si>
    <t>Sep horizontal ejes de barras: Saup=</t>
  </si>
  <si>
    <r>
      <t>M</t>
    </r>
    <r>
      <rPr>
        <b/>
        <vertAlign val="subscript"/>
        <sz val="12"/>
        <color theme="1"/>
        <rFont val="Calibri"/>
        <family val="2"/>
        <scheme val="minor"/>
      </rPr>
      <t>fis</t>
    </r>
    <r>
      <rPr>
        <b/>
        <sz val="12"/>
        <color theme="1"/>
        <rFont val="Calibri"/>
        <family val="2"/>
        <scheme val="minor"/>
      </rPr>
      <t>=</t>
    </r>
  </si>
  <si>
    <t>Cuantía armadura en tracción: As=</t>
  </si>
  <si>
    <t>Canto util:   d=</t>
  </si>
  <si>
    <t>Tipo de acciones</t>
  </si>
  <si>
    <t>indirectas</t>
  </si>
  <si>
    <t>Ancho b=</t>
  </si>
  <si>
    <t>Canto c=</t>
  </si>
  <si>
    <t>𝜎c=</t>
  </si>
  <si>
    <t>𝜎s=</t>
  </si>
  <si>
    <t>Area efectiva:</t>
  </si>
  <si>
    <r>
      <t>W</t>
    </r>
    <r>
      <rPr>
        <b/>
        <vertAlign val="subscript"/>
        <sz val="12"/>
        <color theme="1"/>
        <rFont val="Calibri"/>
        <family val="2"/>
        <scheme val="minor"/>
      </rPr>
      <t>K</t>
    </r>
    <r>
      <rPr>
        <b/>
        <sz val="12"/>
        <color theme="1"/>
        <rFont val="Calibri"/>
        <family val="2"/>
        <scheme val="minor"/>
      </rPr>
      <t>=</t>
    </r>
  </si>
  <si>
    <t>𝜉sm=</t>
  </si>
  <si>
    <t>Instantáneo</t>
  </si>
  <si>
    <t>Momento  comb. Cuasiper.</t>
  </si>
  <si>
    <r>
      <t xml:space="preserve">Diam.:Ø </t>
    </r>
    <r>
      <rPr>
        <vertAlign val="subscript"/>
        <sz val="11"/>
        <rFont val="Calibri"/>
        <family val="2"/>
        <scheme val="minor"/>
      </rPr>
      <t>inf</t>
    </r>
    <r>
      <rPr>
        <sz val="11"/>
        <rFont val="Calibri"/>
        <family val="2"/>
        <scheme val="minor"/>
      </rPr>
      <t>=</t>
    </r>
  </si>
  <si>
    <r>
      <t>r</t>
    </r>
    <r>
      <rPr>
        <vertAlign val="subscript"/>
        <sz val="12"/>
        <color theme="1"/>
        <rFont val="Calibri"/>
        <family val="2"/>
        <scheme val="minor"/>
      </rPr>
      <t>mec</t>
    </r>
    <r>
      <rPr>
        <sz val="12"/>
        <color theme="1"/>
        <rFont val="Calibri"/>
        <family val="2"/>
        <scheme val="minor"/>
      </rPr>
      <t>=</t>
    </r>
  </si>
  <si>
    <t>recubrimiento de calculo =</t>
  </si>
  <si>
    <t>Recubrimiento nominal :</t>
  </si>
  <si>
    <t>𝜉=</t>
  </si>
  <si>
    <t>Escala del Croquis:</t>
  </si>
  <si>
    <r>
      <t>f</t>
    </r>
    <r>
      <rPr>
        <vertAlign val="subscript"/>
        <sz val="12"/>
        <color theme="1"/>
        <rFont val="Calibri"/>
        <family val="2"/>
        <scheme val="minor"/>
      </rPr>
      <t>ct,k</t>
    </r>
    <r>
      <rPr>
        <sz val="12"/>
        <color theme="1"/>
        <rFont val="Calibri"/>
        <family val="2"/>
        <scheme val="minor"/>
      </rPr>
      <t>=</t>
    </r>
  </si>
  <si>
    <r>
      <t>f</t>
    </r>
    <r>
      <rPr>
        <vertAlign val="subscript"/>
        <sz val="12"/>
        <color theme="1"/>
        <rFont val="Calibri"/>
        <family val="2"/>
        <scheme val="minor"/>
      </rPr>
      <t>ct,d</t>
    </r>
    <r>
      <rPr>
        <sz val="12"/>
        <color theme="1"/>
        <rFont val="Calibri"/>
        <family val="2"/>
        <scheme val="minor"/>
      </rPr>
      <t>=</t>
    </r>
  </si>
  <si>
    <r>
      <t>f</t>
    </r>
    <r>
      <rPr>
        <vertAlign val="subscript"/>
        <sz val="12"/>
        <color theme="1"/>
        <rFont val="Calibri"/>
        <family val="2"/>
        <scheme val="minor"/>
      </rPr>
      <t>ct,m</t>
    </r>
    <r>
      <rPr>
        <sz val="12"/>
        <color theme="1"/>
        <rFont val="Calibri"/>
        <family val="2"/>
        <scheme val="minor"/>
      </rPr>
      <t>=</t>
    </r>
  </si>
  <si>
    <t>Acero (fck)</t>
  </si>
  <si>
    <t>coef.</t>
  </si>
  <si>
    <t>secciones</t>
  </si>
  <si>
    <t>1-derecha</t>
  </si>
  <si>
    <t>vano 1-2</t>
  </si>
  <si>
    <t>2-izquierda</t>
  </si>
  <si>
    <t>2-derecha</t>
  </si>
  <si>
    <t>vano 2-3</t>
  </si>
  <si>
    <t>3-izquierda</t>
  </si>
  <si>
    <t xml:space="preserve">Md </t>
  </si>
  <si>
    <t>Momento carac.</t>
  </si>
  <si>
    <t>At</t>
  </si>
  <si>
    <t>Ac</t>
  </si>
  <si>
    <t>Ø tracc.</t>
  </si>
  <si>
    <t>At real cm²</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</si>
</sst>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9">
    <numFmt numFmtId="43" formatCode="_-* #,##0.00_-;\-* #,##0.00_-;_-* &quot;-&quot;??_-;_-@_-"/>
    <numFmt numFmtId="164" formatCode="[Red]0*.;[Red]\-0;;[Red]General"/>
    <numFmt numFmtId="165" formatCode="0.00\ &quot;m&quot;"/>
    <numFmt numFmtId="166" formatCode="0.00\ &quot;N/mm²&quot;"/>
    <numFmt numFmtId="167" formatCode="0.00\ &quot;‰&quot;"/>
    <numFmt numFmtId="168" formatCode="0.00\ &quot;KN·m&quot;"/>
    <numFmt numFmtId="169" formatCode="0,000\ &quot;N/mm²&quot;"/>
    <numFmt numFmtId="170" formatCode="0.00\ &quot;KN&quot;"/>
    <numFmt numFmtId="171" formatCode="0\ &quot;Ø&quot;"/>
    <numFmt numFmtId="172" formatCode="0.0\ &quot;cm²&quot;"/>
    <numFmt numFmtId="173" formatCode="0.000\ &quot;m&quot;"/>
    <numFmt numFmtId="174" formatCode="0.0"/>
    <numFmt numFmtId="175" formatCode="0.000\ &quot;·d=&quot;"/>
    <numFmt numFmtId="176" formatCode="0.0\ &quot;KN&quot;"/>
    <numFmt numFmtId="177" formatCode="#,000.00\ &quot;KN&quot;"/>
    <numFmt numFmtId="178" formatCode="#,000\ &quot;KN&quot;"/>
    <numFmt numFmtId="179" formatCode="#\ \ &quot;MPa&quot;"/>
    <numFmt numFmtId="180" formatCode="0.00\ &quot;cm²&quot;"/>
    <numFmt numFmtId="181" formatCode="0.000"/>
    <numFmt numFmtId="182" formatCode="0.000\ &quot;m&quot;\ ;\-0.000\ &quot;m&quot;\ ;;@"/>
    <numFmt numFmtId="183" formatCode="0.00\ &quot;KN&quot;;\-0.00\ &quot;KN&quot;;;@"/>
    <numFmt numFmtId="184" formatCode="0.00\ &quot;cm²&quot;;\-0.00\ &quot;cm²&quot;;;@"/>
    <numFmt numFmtId="185" formatCode="0.00\ &quot;KN&quot;;;;@"/>
    <numFmt numFmtId="186" formatCode="0.00\ &quot;cm²&quot;;;;@"/>
    <numFmt numFmtId="187" formatCode="#,###.00\ &quot;KN&quot;"/>
    <numFmt numFmtId="188" formatCode="#,###.##\ &quot;KN·m&quot;"/>
    <numFmt numFmtId="189" formatCode="#,000.0000\ &quot;KN&quot;"/>
    <numFmt numFmtId="190" formatCode="0.0\ &quot;KN&quot;;;;"/>
    <numFmt numFmtId="191" formatCode="0.0\ &quot;cm²&quot;;;;"/>
    <numFmt numFmtId="192" formatCode="0.00\ &quot;N/mm²&quot;;;;"/>
    <numFmt numFmtId="193" formatCode="0.00\ &quot;KN&quot;;;;"/>
    <numFmt numFmtId="194" formatCode="0.0\ &quot;KN·m&quot;"/>
    <numFmt numFmtId="195" formatCode="0.00E+00\ &quot;m&quot;"/>
    <numFmt numFmtId="196" formatCode="##.00&quot;cm²&quot;"/>
    <numFmt numFmtId="197" formatCode="###.00\ &quot;º&quot;"/>
    <numFmt numFmtId="198" formatCode="0.00\ &quot;cm²/ml&quot;"/>
    <numFmt numFmtId="199" formatCode="0\ &quot;mm&quot;"/>
    <numFmt numFmtId="200" formatCode="_-* #,##0_-;\-* #,##0_-;_-* &quot;-&quot;??_-;_-@_-"/>
    <numFmt numFmtId="201" formatCode="###.0\ &quot;mm&quot;"/>
    <numFmt numFmtId="202" formatCode="#,###.00\ &quot;KN/m²&quot;"/>
    <numFmt numFmtId="203" formatCode="#,000.0\ &quot;KN&quot;"/>
    <numFmt numFmtId="204" formatCode="0.0\ &quot;‰&quot;"/>
    <numFmt numFmtId="205" formatCode="0.000000000000"/>
    <numFmt numFmtId="206" formatCode="_-* #,##0.000000000000_-;\-* #,##0.000000000000_-;_-* &quot;-&quot;??_-;_-@_-"/>
    <numFmt numFmtId="207" formatCode="0.000\ &quot;N/mm²&quot;"/>
    <numFmt numFmtId="208" formatCode="0.##\ \ &quot;  · fcd=&quot;"/>
    <numFmt numFmtId="209" formatCode="0.00\ &quot;mm&quot;"/>
    <numFmt numFmtId="210" formatCode="#,###.00\ &quot;N/mm²&quot;"/>
    <numFmt numFmtId="211" formatCode="#.00\ &quot;cm²&quot;"/>
    <numFmt numFmtId="212" formatCode="0.00000"/>
    <numFmt numFmtId="213" formatCode="0.0000"/>
    <numFmt numFmtId="214" formatCode="0.0\ &quot;mm&quot;"/>
    <numFmt numFmtId="215" formatCode="0.0000\ &quot;m4&quot;"/>
    <numFmt numFmtId="216" formatCode="0.00\ "/>
    <numFmt numFmtId="217" formatCode="0.00000\ &quot;m4&quot;"/>
    <numFmt numFmtId="218" formatCode="0.000\ &quot;mm&quot;"/>
    <numFmt numFmtId="219" formatCode="#\ &quot;ud&quot;"/>
    <numFmt numFmtId="220" formatCode="0.0\ &quot;cm²/ml&quot;"/>
    <numFmt numFmtId="221" formatCode="[Red]@\ \ "/>
  </numFmts>
  <fonts count="52" x14ac:knownFonts="1">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sz val="11"/>
      <name val="Calibri"/>
      <family val="2"/>
      <scheme val="minor"/>
    </font>
    <font>
      <sz val="12"/>
      <color theme="1"/>
      <name val="Calibri"/>
      <family val="2"/>
      <scheme val="minor"/>
    </font>
    <font>
      <vertAlign val="subscript"/>
      <sz val="12"/>
      <color theme="1"/>
      <name val="Calibri"/>
      <family val="2"/>
      <scheme val="minor"/>
    </font>
    <font>
      <sz val="9"/>
      <color indexed="81"/>
      <name val="Tahoma"/>
      <family val="2"/>
    </font>
    <font>
      <b/>
      <sz val="9"/>
      <color indexed="81"/>
      <name val="Tahoma"/>
      <family val="2"/>
    </font>
    <font>
      <b/>
      <sz val="26"/>
      <color theme="3"/>
      <name val="Calibri"/>
      <family val="2"/>
      <scheme val="minor"/>
    </font>
    <font>
      <b/>
      <sz val="11"/>
      <color theme="3"/>
      <name val="Calibri"/>
      <family val="2"/>
      <scheme val="minor"/>
    </font>
    <font>
      <sz val="12"/>
      <name val="Calibri"/>
      <family val="2"/>
      <scheme val="minor"/>
    </font>
    <font>
      <b/>
      <sz val="12"/>
      <name val="Calibri"/>
      <family val="2"/>
      <scheme val="minor"/>
    </font>
    <font>
      <b/>
      <vertAlign val="subscript"/>
      <sz val="12"/>
      <name val="Calibri"/>
      <family val="2"/>
      <scheme val="minor"/>
    </font>
    <font>
      <b/>
      <sz val="12"/>
      <color theme="1"/>
      <name val="Calibri"/>
      <family val="2"/>
      <scheme val="minor"/>
    </font>
    <font>
      <b/>
      <vertAlign val="subscript"/>
      <sz val="12"/>
      <color theme="1"/>
      <name val="Calibri"/>
      <family val="2"/>
      <scheme val="minor"/>
    </font>
    <font>
      <sz val="12"/>
      <color rgb="FFFF0000"/>
      <name val="Calibri"/>
      <family val="2"/>
      <scheme val="minor"/>
    </font>
    <font>
      <sz val="8"/>
      <name val="Calibri"/>
      <family val="2"/>
      <scheme val="minor"/>
    </font>
    <font>
      <b/>
      <vertAlign val="superscript"/>
      <sz val="12"/>
      <color theme="1"/>
      <name val="Calibri"/>
      <family val="2"/>
      <scheme val="minor"/>
    </font>
    <font>
      <b/>
      <sz val="12"/>
      <color rgb="FFFF0000"/>
      <name val="Calibri"/>
      <family val="2"/>
      <scheme val="minor"/>
    </font>
    <font>
      <b/>
      <vertAlign val="subscript"/>
      <sz val="11"/>
      <color theme="1"/>
      <name val="Calibri"/>
      <family val="2"/>
      <scheme val="minor"/>
    </font>
    <font>
      <b/>
      <sz val="12"/>
      <color rgb="FFC00000"/>
      <name val="Calibri"/>
      <family val="2"/>
      <scheme val="minor"/>
    </font>
    <font>
      <sz val="12"/>
      <color rgb="FFC00000"/>
      <name val="Calibri"/>
      <family val="2"/>
      <scheme val="minor"/>
    </font>
    <font>
      <sz val="11"/>
      <color rgb="FFC00000"/>
      <name val="Calibri"/>
      <family val="2"/>
      <scheme val="minor"/>
    </font>
    <font>
      <b/>
      <sz val="11"/>
      <name val="Calibri"/>
      <family val="2"/>
      <scheme val="minor"/>
    </font>
    <font>
      <b/>
      <vertAlign val="subscript"/>
      <sz val="11"/>
      <name val="Calibri"/>
      <family val="2"/>
      <scheme val="minor"/>
    </font>
    <font>
      <sz val="11"/>
      <color rgb="FFFF0000"/>
      <name val="Calibri"/>
      <family val="2"/>
      <scheme val="minor"/>
    </font>
    <font>
      <vertAlign val="subscript"/>
      <sz val="11"/>
      <color theme="1"/>
      <name val="Calibri"/>
      <family val="2"/>
      <scheme val="minor"/>
    </font>
    <font>
      <vertAlign val="superscript"/>
      <sz val="12"/>
      <color theme="1"/>
      <name val="Calibri"/>
      <family val="2"/>
      <scheme val="minor"/>
    </font>
    <font>
      <sz val="12"/>
      <color rgb="FF202124"/>
      <name val="Arial"/>
      <family val="2"/>
    </font>
    <font>
      <sz val="12"/>
      <color theme="1"/>
      <name val="Calibri"/>
      <family val="2"/>
    </font>
    <font>
      <b/>
      <sz val="12"/>
      <color rgb="FF00B0F0"/>
      <name val="Calibri"/>
      <family val="2"/>
      <scheme val="minor"/>
    </font>
    <font>
      <b/>
      <i/>
      <sz val="14"/>
      <color theme="1"/>
      <name val="Calibri"/>
      <family val="2"/>
      <scheme val="minor"/>
    </font>
    <font>
      <b/>
      <i/>
      <sz val="12"/>
      <name val="Calibri"/>
      <family val="2"/>
      <scheme val="minor"/>
    </font>
    <font>
      <b/>
      <i/>
      <sz val="12"/>
      <color rgb="FFFF16B9"/>
      <name val="Calibri"/>
      <family val="2"/>
      <scheme val="minor"/>
    </font>
    <font>
      <sz val="11"/>
      <color rgb="FF000000"/>
      <name val="Calibri"/>
      <family val="2"/>
    </font>
    <font>
      <sz val="12"/>
      <color rgb="FF339966"/>
      <name val="Calibri"/>
      <family val="2"/>
    </font>
    <font>
      <b/>
      <sz val="14"/>
      <color rgb="FFFF00FF"/>
      <name val="Calibri"/>
      <family val="2"/>
    </font>
    <font>
      <sz val="14"/>
      <color rgb="FF000000"/>
      <name val="Calibri"/>
      <family val="2"/>
    </font>
    <font>
      <b/>
      <sz val="14"/>
      <color rgb="FF000000"/>
      <name val="Calibri"/>
      <family val="2"/>
    </font>
    <font>
      <sz val="12"/>
      <name val="Arial"/>
      <family val="2"/>
    </font>
    <font>
      <vertAlign val="subscript"/>
      <sz val="9"/>
      <color indexed="81"/>
      <name val="Tahoma"/>
      <family val="2"/>
    </font>
    <font>
      <sz val="13"/>
      <color rgb="FF000000"/>
      <name val="Calibri"/>
      <family val="2"/>
    </font>
    <font>
      <vertAlign val="subscript"/>
      <sz val="12"/>
      <name val="Calibri"/>
      <family val="2"/>
      <scheme val="minor"/>
    </font>
    <font>
      <sz val="8"/>
      <color rgb="FF000000"/>
      <name val="Segoe UI"/>
      <family val="2"/>
    </font>
    <font>
      <sz val="12"/>
      <name val="Calibri"/>
      <family val="2"/>
    </font>
    <font>
      <b/>
      <sz val="11"/>
      <color rgb="FFFF0000"/>
      <name val="Calibri"/>
      <family val="2"/>
      <scheme val="minor"/>
    </font>
    <font>
      <vertAlign val="subscript"/>
      <sz val="11"/>
      <name val="Calibri"/>
      <family val="2"/>
      <scheme val="minor"/>
    </font>
    <font>
      <sz val="11"/>
      <color rgb="FF9C5700"/>
      <name val="Calibri"/>
      <family val="2"/>
      <scheme val="minor"/>
    </font>
    <font>
      <sz val="14"/>
      <color rgb="FF9C5700"/>
      <name val="Calibri"/>
      <family val="2"/>
      <scheme val="minor"/>
    </font>
    <font>
      <b/>
      <sz val="12"/>
      <color indexed="81"/>
      <name val="Tahoma"/>
      <family val="2"/>
    </font>
    <font>
      <b/>
      <sz val="11"/>
      <color indexed="81"/>
      <name val="Tahoma"/>
      <family val="2"/>
    </font>
  </fonts>
  <fills count="8">
    <fill>
      <patternFill patternType="none"/>
    </fill>
    <fill>
      <patternFill patternType="gray125"/>
    </fill>
    <fill>
      <patternFill patternType="solid">
        <fgColor theme="4" tint="0.79998168889431442"/>
        <bgColor indexed="65"/>
      </patternFill>
    </fill>
    <fill>
      <patternFill patternType="solid">
        <fgColor rgb="FFFFFF00"/>
        <bgColor indexed="64"/>
      </patternFill>
    </fill>
    <fill>
      <patternFill patternType="solid">
        <fgColor rgb="FF00B050"/>
        <bgColor indexed="64"/>
      </patternFill>
    </fill>
    <fill>
      <patternFill patternType="solid">
        <fgColor rgb="FFFF0000"/>
        <bgColor indexed="64"/>
      </patternFill>
    </fill>
    <fill>
      <patternFill patternType="solid">
        <fgColor rgb="FFFFEB9C"/>
      </patternFill>
    </fill>
    <fill>
      <patternFill patternType="solid">
        <fgColor theme="1" tint="0.499984740745262"/>
        <bgColor indexed="64"/>
      </patternFill>
    </fill>
  </fills>
  <borders count="47">
    <border>
      <left/>
      <right/>
      <top/>
      <bottom/>
      <diagonal/>
    </border>
    <border>
      <left/>
      <right/>
      <top/>
      <bottom style="thick">
        <color theme="4"/>
      </bottom>
      <diagonal/>
    </border>
    <border>
      <left/>
      <right/>
      <top style="thin">
        <color theme="4"/>
      </top>
      <bottom style="double">
        <color theme="4"/>
      </bottom>
      <diagonal/>
    </border>
    <border>
      <left style="thin">
        <color theme="4"/>
      </left>
      <right style="thin">
        <color theme="4"/>
      </right>
      <top style="thin">
        <color theme="4"/>
      </top>
      <bottom style="thin">
        <color theme="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thin">
        <color theme="4"/>
      </left>
      <right/>
      <top style="thin">
        <color theme="4"/>
      </top>
      <bottom style="double">
        <color theme="4"/>
      </bottom>
      <diagonal/>
    </border>
    <border>
      <left/>
      <right style="thin">
        <color theme="4"/>
      </right>
      <top style="thin">
        <color theme="4"/>
      </top>
      <bottom style="double">
        <color theme="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bottom style="medium">
        <color theme="4" tint="0.39997558519241921"/>
      </bottom>
      <diagonal/>
    </border>
    <border>
      <left style="medium">
        <color theme="4" tint="0.39994506668294322"/>
      </left>
      <right/>
      <top style="medium">
        <color theme="4" tint="0.39994506668294322"/>
      </top>
      <bottom style="medium">
        <color theme="4" tint="0.39994506668294322"/>
      </bottom>
      <diagonal/>
    </border>
    <border>
      <left/>
      <right/>
      <top style="medium">
        <color theme="4" tint="0.39994506668294322"/>
      </top>
      <bottom style="medium">
        <color theme="4" tint="0.39994506668294322"/>
      </bottom>
      <diagonal/>
    </border>
    <border>
      <left/>
      <right style="medium">
        <color theme="4" tint="0.39994506668294322"/>
      </right>
      <top style="medium">
        <color theme="4" tint="0.39994506668294322"/>
      </top>
      <bottom style="medium">
        <color theme="4" tint="0.39994506668294322"/>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style="thin">
        <color theme="4"/>
      </left>
      <right/>
      <top/>
      <bottom style="thin">
        <color indexed="64"/>
      </bottom>
      <diagonal/>
    </border>
    <border>
      <left style="thin">
        <color indexed="64"/>
      </left>
      <right/>
      <top/>
      <bottom/>
      <diagonal/>
    </border>
    <border>
      <left style="medium">
        <color theme="4" tint="0.39991454817346722"/>
      </left>
      <right/>
      <top style="medium">
        <color theme="4" tint="0.39994506668294322"/>
      </top>
      <bottom style="medium">
        <color theme="4" tint="0.39994506668294322"/>
      </bottom>
      <diagonal/>
    </border>
    <border>
      <left/>
      <right/>
      <top style="thin">
        <color indexed="64"/>
      </top>
      <bottom style="thin">
        <color indexed="64"/>
      </bottom>
      <diagonal/>
    </border>
    <border>
      <left/>
      <right/>
      <top style="thin">
        <color indexed="64"/>
      </top>
      <bottom/>
      <diagonal/>
    </border>
  </borders>
  <cellStyleXfs count="9">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0" borderId="1" applyNumberFormat="0" applyFill="0" applyAlignment="0" applyProtection="0"/>
    <xf numFmtId="0" fontId="3" fillId="0" borderId="2" applyNumberFormat="0" applyFill="0" applyAlignment="0" applyProtection="0"/>
    <xf numFmtId="0" fontId="1" fillId="2" borderId="0" applyNumberFormat="0" applyBorder="0" applyAlignment="0" applyProtection="0"/>
    <xf numFmtId="0" fontId="1" fillId="0" borderId="3">
      <alignment horizontal="left"/>
    </xf>
    <xf numFmtId="0" fontId="10" fillId="0" borderId="27" applyNumberFormat="0" applyFill="0" applyAlignment="0" applyProtection="0"/>
    <xf numFmtId="0" fontId="48" fillId="6" borderId="0" applyNumberFormat="0" applyBorder="0" applyAlignment="0" applyProtection="0"/>
  </cellStyleXfs>
  <cellXfs count="403">
    <xf numFmtId="0" fontId="0" fillId="0" borderId="0" xfId="0"/>
    <xf numFmtId="0" fontId="0" fillId="0" borderId="0" xfId="0" applyAlignment="1">
      <alignment horizontal="right"/>
    </xf>
    <xf numFmtId="0" fontId="3" fillId="0" borderId="3" xfId="4" applyBorder="1"/>
    <xf numFmtId="0" fontId="5" fillId="0" borderId="0" xfId="0" applyFont="1" applyAlignment="1">
      <alignment horizontal="right"/>
    </xf>
    <xf numFmtId="0" fontId="0" fillId="0" borderId="0" xfId="0" applyAlignment="1">
      <alignment horizontal="center"/>
    </xf>
    <xf numFmtId="0" fontId="0" fillId="0" borderId="0" xfId="0" applyAlignment="1">
      <alignment horizontal="left"/>
    </xf>
    <xf numFmtId="0" fontId="0" fillId="0" borderId="4" xfId="0" applyBorder="1" applyAlignment="1">
      <alignment horizontal="left"/>
    </xf>
    <xf numFmtId="0" fontId="0" fillId="3" borderId="4" xfId="0" applyFill="1" applyBorder="1"/>
    <xf numFmtId="0" fontId="1" fillId="2" borderId="4" xfId="5" applyBorder="1"/>
    <xf numFmtId="0" fontId="4" fillId="0" borderId="0" xfId="0" applyFont="1" applyAlignment="1">
      <alignment horizontal="center"/>
    </xf>
    <xf numFmtId="0" fontId="0" fillId="0" borderId="4" xfId="0" applyBorder="1" applyAlignment="1">
      <alignment horizontal="centerContinuous"/>
    </xf>
    <xf numFmtId="0" fontId="0" fillId="0" borderId="4" xfId="0" applyBorder="1"/>
    <xf numFmtId="2" fontId="0" fillId="0" borderId="4" xfId="0" applyNumberFormat="1" applyBorder="1" applyAlignment="1">
      <alignment horizontal="center"/>
    </xf>
    <xf numFmtId="174" fontId="0" fillId="0" borderId="10" xfId="0" applyNumberFormat="1" applyBorder="1" applyAlignment="1">
      <alignment horizontal="center"/>
    </xf>
    <xf numFmtId="174" fontId="0" fillId="0" borderId="11" xfId="0" applyNumberFormat="1" applyBorder="1" applyAlignment="1">
      <alignment horizontal="center"/>
    </xf>
    <xf numFmtId="174" fontId="0" fillId="0" borderId="12" xfId="0" applyNumberFormat="1" applyBorder="1" applyAlignment="1">
      <alignment horizontal="center"/>
    </xf>
    <xf numFmtId="0" fontId="0" fillId="0" borderId="13" xfId="0" applyBorder="1" applyAlignment="1">
      <alignment horizontal="centerContinuous"/>
    </xf>
    <xf numFmtId="0" fontId="0" fillId="0" borderId="0" xfId="0" applyAlignment="1">
      <alignment horizontal="left" vertical="center"/>
    </xf>
    <xf numFmtId="0" fontId="3" fillId="0" borderId="0" xfId="0" applyFont="1"/>
    <xf numFmtId="0" fontId="0" fillId="0" borderId="19" xfId="0" applyBorder="1" applyAlignment="1">
      <alignment horizontal="centerContinuous"/>
    </xf>
    <xf numFmtId="0" fontId="3" fillId="0" borderId="8" xfId="0" applyFont="1" applyBorder="1" applyAlignment="1">
      <alignment horizontal="centerContinuous"/>
    </xf>
    <xf numFmtId="0" fontId="0" fillId="0" borderId="20" xfId="0" applyBorder="1" applyAlignment="1">
      <alignment horizontal="centerContinuous"/>
    </xf>
    <xf numFmtId="0" fontId="0" fillId="0" borderId="14" xfId="0" applyBorder="1" applyAlignment="1">
      <alignment horizontal="centerContinuous"/>
    </xf>
    <xf numFmtId="0" fontId="0" fillId="0" borderId="9" xfId="0" applyBorder="1" applyAlignment="1">
      <alignment horizontal="left" vertical="center"/>
    </xf>
    <xf numFmtId="0" fontId="0" fillId="0" borderId="21" xfId="0" applyBorder="1" applyAlignment="1">
      <alignment horizontal="left" vertical="center"/>
    </xf>
    <xf numFmtId="0" fontId="0" fillId="0" borderId="21" xfId="0" applyBorder="1" applyAlignment="1">
      <alignment vertical="center"/>
    </xf>
    <xf numFmtId="0" fontId="0" fillId="0" borderId="22" xfId="0" applyBorder="1" applyAlignment="1">
      <alignment vertical="center"/>
    </xf>
    <xf numFmtId="0" fontId="0" fillId="0" borderId="0" xfId="0" applyAlignment="1">
      <alignment horizontal="centerContinuous"/>
    </xf>
    <xf numFmtId="0" fontId="0" fillId="0" borderId="23" xfId="0" applyBorder="1"/>
    <xf numFmtId="0" fontId="4" fillId="0" borderId="17" xfId="0" applyFont="1" applyBorder="1" applyAlignment="1">
      <alignment horizontal="center"/>
    </xf>
    <xf numFmtId="0" fontId="0" fillId="0" borderId="25" xfId="0" applyBorder="1"/>
    <xf numFmtId="0" fontId="4" fillId="0" borderId="26" xfId="0" applyFont="1" applyBorder="1" applyAlignment="1">
      <alignment horizontal="center"/>
    </xf>
    <xf numFmtId="0" fontId="0" fillId="0" borderId="7" xfId="0" applyBorder="1" applyAlignment="1">
      <alignment horizontal="centerContinuous"/>
    </xf>
    <xf numFmtId="0" fontId="4" fillId="0" borderId="24" xfId="0" applyFont="1" applyBorder="1" applyAlignment="1">
      <alignment horizontal="centerContinuous"/>
    </xf>
    <xf numFmtId="0" fontId="0" fillId="0" borderId="17" xfId="0" applyBorder="1" applyAlignment="1">
      <alignment horizontal="left"/>
    </xf>
    <xf numFmtId="0" fontId="0" fillId="0" borderId="24" xfId="0" applyBorder="1" applyAlignment="1">
      <alignment horizontal="centerContinuous"/>
    </xf>
    <xf numFmtId="0" fontId="0" fillId="0" borderId="26" xfId="0" applyBorder="1" applyAlignment="1">
      <alignment horizontal="left"/>
    </xf>
    <xf numFmtId="0" fontId="0" fillId="3" borderId="0" xfId="0" applyFill="1"/>
    <xf numFmtId="2" fontId="0" fillId="0" borderId="4" xfId="0" applyNumberFormat="1" applyBorder="1" applyAlignment="1">
      <alignment horizontal="left"/>
    </xf>
    <xf numFmtId="2" fontId="0" fillId="0" borderId="0" xfId="0" applyNumberFormat="1" applyAlignment="1">
      <alignment horizontal="left"/>
    </xf>
    <xf numFmtId="0" fontId="0" fillId="0" borderId="4" xfId="0" applyBorder="1" applyAlignment="1">
      <alignment horizontal="center"/>
    </xf>
    <xf numFmtId="179" fontId="0" fillId="0" borderId="18" xfId="0" applyNumberFormat="1" applyBorder="1" applyAlignment="1">
      <alignment horizontal="center"/>
    </xf>
    <xf numFmtId="174" fontId="0" fillId="0" borderId="31" xfId="0" applyNumberFormat="1" applyBorder="1" applyAlignment="1">
      <alignment horizontal="center"/>
    </xf>
    <xf numFmtId="174" fontId="0" fillId="0" borderId="23" xfId="0" applyNumberFormat="1" applyBorder="1" applyAlignment="1">
      <alignment horizontal="center"/>
    </xf>
    <xf numFmtId="174" fontId="0" fillId="0" borderId="32" xfId="0" applyNumberFormat="1" applyBorder="1" applyAlignment="1">
      <alignment horizontal="center"/>
    </xf>
    <xf numFmtId="0" fontId="0" fillId="0" borderId="10" xfId="0" applyBorder="1" applyAlignment="1">
      <alignment horizontal="centerContinuous" vertical="center"/>
    </xf>
    <xf numFmtId="0" fontId="0" fillId="0" borderId="12" xfId="0" applyBorder="1" applyAlignment="1">
      <alignment horizontal="centerContinuous" vertical="center"/>
    </xf>
    <xf numFmtId="0" fontId="0" fillId="0" borderId="12" xfId="0" applyBorder="1" applyAlignment="1">
      <alignment horizontal="left" vertical="center"/>
    </xf>
    <xf numFmtId="0" fontId="0" fillId="0" borderId="11" xfId="0" applyBorder="1" applyAlignment="1">
      <alignment horizontal="left" vertical="center"/>
    </xf>
    <xf numFmtId="0" fontId="5" fillId="0" borderId="0" xfId="0" applyFont="1"/>
    <xf numFmtId="0" fontId="11" fillId="0" borderId="0" xfId="0" applyFont="1" applyAlignment="1">
      <alignment horizontal="right"/>
    </xf>
    <xf numFmtId="0" fontId="12" fillId="0" borderId="29" xfId="7" applyFont="1" applyBorder="1" applyAlignment="1">
      <alignment horizontal="right"/>
    </xf>
    <xf numFmtId="0" fontId="14" fillId="0" borderId="0" xfId="0" applyFont="1" applyAlignment="1">
      <alignment horizontal="right"/>
    </xf>
    <xf numFmtId="0" fontId="5" fillId="0" borderId="7" xfId="0" applyFont="1" applyBorder="1" applyAlignment="1">
      <alignment horizontal="right"/>
    </xf>
    <xf numFmtId="0" fontId="11" fillId="0" borderId="0" xfId="0" applyFont="1" applyAlignment="1">
      <alignment horizontal="center"/>
    </xf>
    <xf numFmtId="0" fontId="5" fillId="0" borderId="0" xfId="0" applyFont="1" applyAlignment="1">
      <alignment horizontal="left"/>
    </xf>
    <xf numFmtId="0" fontId="12" fillId="0" borderId="0" xfId="0" applyFont="1" applyAlignment="1">
      <alignment horizontal="left"/>
    </xf>
    <xf numFmtId="165" fontId="5" fillId="2" borderId="0" xfId="5" applyNumberFormat="1" applyFont="1" applyAlignment="1">
      <alignment horizontal="left"/>
    </xf>
    <xf numFmtId="0" fontId="14" fillId="0" borderId="0" xfId="0" applyFont="1" applyAlignment="1">
      <alignment horizontal="left"/>
    </xf>
    <xf numFmtId="0" fontId="11" fillId="0" borderId="0" xfId="0" applyFont="1" applyAlignment="1">
      <alignment horizontal="left"/>
    </xf>
    <xf numFmtId="169" fontId="5" fillId="2" borderId="0" xfId="5" applyNumberFormat="1" applyFont="1" applyAlignment="1">
      <alignment horizontal="left"/>
    </xf>
    <xf numFmtId="0" fontId="14" fillId="0" borderId="0" xfId="0" applyFont="1"/>
    <xf numFmtId="165" fontId="5" fillId="3" borderId="0" xfId="5" applyNumberFormat="1" applyFont="1" applyFill="1" applyAlignment="1">
      <alignment horizontal="left"/>
    </xf>
    <xf numFmtId="166" fontId="5" fillId="3" borderId="0" xfId="5" applyNumberFormat="1" applyFont="1" applyFill="1" applyAlignment="1">
      <alignment horizontal="left"/>
    </xf>
    <xf numFmtId="0" fontId="5" fillId="0" borderId="3" xfId="4" applyFont="1" applyBorder="1" applyAlignment="1">
      <alignment horizontal="center"/>
    </xf>
    <xf numFmtId="167" fontId="5" fillId="2" borderId="0" xfId="5" applyNumberFormat="1" applyFont="1" applyAlignment="1">
      <alignment horizontal="left"/>
    </xf>
    <xf numFmtId="166" fontId="11" fillId="3" borderId="0" xfId="5" applyNumberFormat="1" applyFont="1" applyFill="1" applyAlignment="1">
      <alignment horizontal="left"/>
    </xf>
    <xf numFmtId="167" fontId="5" fillId="3" borderId="0" xfId="2" applyNumberFormat="1" applyFont="1" applyFill="1" applyAlignment="1">
      <alignment horizontal="left"/>
    </xf>
    <xf numFmtId="4" fontId="5" fillId="0" borderId="0" xfId="0" applyNumberFormat="1" applyFont="1"/>
    <xf numFmtId="166" fontId="5" fillId="3" borderId="0" xfId="5" applyNumberFormat="1" applyFont="1" applyFill="1"/>
    <xf numFmtId="168" fontId="14" fillId="2" borderId="0" xfId="5" applyNumberFormat="1" applyFont="1" applyAlignment="1">
      <alignment horizontal="left"/>
    </xf>
    <xf numFmtId="175" fontId="5" fillId="3" borderId="0" xfId="0" applyNumberFormat="1" applyFont="1" applyFill="1" applyAlignment="1">
      <alignment horizontal="left"/>
    </xf>
    <xf numFmtId="165" fontId="14" fillId="3" borderId="4" xfId="0" applyNumberFormat="1" applyFont="1" applyFill="1" applyBorder="1" applyAlignment="1">
      <alignment horizontal="left"/>
    </xf>
    <xf numFmtId="165" fontId="11" fillId="3" borderId="0" xfId="5" applyNumberFormat="1" applyFont="1" applyFill="1" applyAlignment="1">
      <alignment horizontal="left"/>
    </xf>
    <xf numFmtId="177" fontId="5" fillId="3" borderId="0" xfId="1" applyNumberFormat="1" applyFont="1" applyFill="1" applyAlignment="1">
      <alignment horizontal="left"/>
    </xf>
    <xf numFmtId="0" fontId="14" fillId="0" borderId="0" xfId="0" applyFont="1" applyAlignment="1">
      <alignment horizontal="center"/>
    </xf>
    <xf numFmtId="0" fontId="5" fillId="0" borderId="0" xfId="0" applyFont="1" applyAlignment="1">
      <alignment horizontal="center"/>
    </xf>
    <xf numFmtId="173" fontId="11" fillId="3" borderId="0" xfId="5" applyNumberFormat="1" applyFont="1" applyFill="1" applyAlignment="1">
      <alignment horizontal="left"/>
    </xf>
    <xf numFmtId="176" fontId="11" fillId="3" borderId="0" xfId="5" applyNumberFormat="1" applyFont="1" applyFill="1" applyAlignment="1">
      <alignment horizontal="left"/>
    </xf>
    <xf numFmtId="0" fontId="12" fillId="0" borderId="28" xfId="7" applyFont="1" applyBorder="1" applyAlignment="1">
      <alignment horizontal="center"/>
    </xf>
    <xf numFmtId="0" fontId="12" fillId="0" borderId="29" xfId="7" applyFont="1" applyBorder="1"/>
    <xf numFmtId="172" fontId="12" fillId="3" borderId="30" xfId="7" applyNumberFormat="1" applyFont="1" applyFill="1" applyBorder="1" applyAlignment="1">
      <alignment horizontal="left"/>
    </xf>
    <xf numFmtId="172" fontId="12" fillId="3" borderId="0" xfId="5" applyNumberFormat="1" applyFont="1" applyFill="1" applyAlignment="1">
      <alignment horizontal="left"/>
    </xf>
    <xf numFmtId="174" fontId="5" fillId="0" borderId="0" xfId="0" applyNumberFormat="1" applyFont="1"/>
    <xf numFmtId="172" fontId="11" fillId="3" borderId="0" xfId="5" applyNumberFormat="1" applyFont="1" applyFill="1" applyAlignment="1">
      <alignment horizontal="left"/>
    </xf>
    <xf numFmtId="0" fontId="14" fillId="0" borderId="15" xfId="4" applyFont="1" applyBorder="1" applyAlignment="1">
      <alignment horizontal="centerContinuous"/>
    </xf>
    <xf numFmtId="0" fontId="14" fillId="0" borderId="2" xfId="4" applyFont="1" applyAlignment="1">
      <alignment horizontal="centerContinuous"/>
    </xf>
    <xf numFmtId="0" fontId="14" fillId="0" borderId="16" xfId="4" applyFont="1" applyBorder="1" applyAlignment="1">
      <alignment horizontal="centerContinuous"/>
    </xf>
    <xf numFmtId="0" fontId="14" fillId="0" borderId="0" xfId="4" applyFont="1" applyBorder="1" applyAlignment="1">
      <alignment horizontal="centerContinuous"/>
    </xf>
    <xf numFmtId="0" fontId="5" fillId="0" borderId="3" xfId="4" applyFont="1" applyBorder="1" applyAlignment="1">
      <alignment horizontal="left"/>
    </xf>
    <xf numFmtId="0" fontId="16" fillId="0" borderId="0" xfId="0" applyFont="1" applyAlignment="1">
      <alignment horizontal="right"/>
    </xf>
    <xf numFmtId="172" fontId="11" fillId="3" borderId="0" xfId="5" applyNumberFormat="1" applyFont="1" applyFill="1" applyAlignment="1">
      <alignment horizontal="center"/>
    </xf>
    <xf numFmtId="0" fontId="5" fillId="0" borderId="0" xfId="0" quotePrefix="1" applyFont="1"/>
    <xf numFmtId="0" fontId="14" fillId="0" borderId="0" xfId="0" quotePrefix="1" applyFont="1" applyAlignment="1">
      <alignment horizontal="right"/>
    </xf>
    <xf numFmtId="166" fontId="0" fillId="3" borderId="0" xfId="5" applyNumberFormat="1" applyFont="1" applyFill="1" applyAlignment="1">
      <alignment horizontal="left"/>
    </xf>
    <xf numFmtId="169" fontId="5" fillId="2" borderId="0" xfId="5" applyNumberFormat="1" applyFont="1" applyAlignment="1">
      <alignment horizontal="center"/>
    </xf>
    <xf numFmtId="0" fontId="12" fillId="0" borderId="0" xfId="0" applyFont="1" applyAlignment="1">
      <alignment horizontal="right"/>
    </xf>
    <xf numFmtId="177" fontId="11" fillId="3" borderId="0" xfId="1" applyNumberFormat="1" applyFont="1" applyFill="1" applyAlignment="1">
      <alignment horizontal="left"/>
    </xf>
    <xf numFmtId="173" fontId="14" fillId="3" borderId="4" xfId="0" applyNumberFormat="1" applyFont="1" applyFill="1" applyBorder="1" applyAlignment="1">
      <alignment horizontal="left"/>
    </xf>
    <xf numFmtId="175" fontId="5" fillId="3" borderId="7" xfId="0" applyNumberFormat="1" applyFont="1" applyFill="1" applyBorder="1" applyAlignment="1">
      <alignment horizontal="center"/>
    </xf>
    <xf numFmtId="2" fontId="5" fillId="0" borderId="0" xfId="0" applyNumberFormat="1" applyFont="1" applyAlignment="1">
      <alignment horizontal="left"/>
    </xf>
    <xf numFmtId="0" fontId="5" fillId="0" borderId="0" xfId="0" applyFont="1" applyAlignment="1">
      <alignment horizontal="centerContinuous"/>
    </xf>
    <xf numFmtId="0" fontId="3" fillId="3" borderId="0" xfId="0" applyFont="1" applyFill="1" applyAlignment="1">
      <alignment horizontal="center"/>
    </xf>
    <xf numFmtId="0" fontId="3" fillId="3" borderId="39" xfId="0" applyFont="1" applyFill="1" applyBorder="1" applyAlignment="1">
      <alignment horizontal="center"/>
    </xf>
    <xf numFmtId="0" fontId="5" fillId="3" borderId="35" xfId="0" applyFont="1" applyFill="1" applyBorder="1" applyAlignment="1">
      <alignment horizontal="left"/>
    </xf>
    <xf numFmtId="0" fontId="5" fillId="3" borderId="36" xfId="0" applyFont="1" applyFill="1" applyBorder="1"/>
    <xf numFmtId="0" fontId="5" fillId="3" borderId="0" xfId="0" applyFont="1" applyFill="1" applyAlignment="1">
      <alignment horizontal="left"/>
    </xf>
    <xf numFmtId="0" fontId="5" fillId="3" borderId="0" xfId="0" applyFont="1" applyFill="1"/>
    <xf numFmtId="0" fontId="5" fillId="0" borderId="14" xfId="0" applyFont="1" applyBorder="1" applyAlignment="1">
      <alignment horizontal="right"/>
    </xf>
    <xf numFmtId="0" fontId="11" fillId="0" borderId="36" xfId="0" applyFont="1" applyBorder="1" applyAlignment="1">
      <alignment horizontal="right" vertical="center" readingOrder="1"/>
    </xf>
    <xf numFmtId="0" fontId="12" fillId="0" borderId="36" xfId="0" applyFont="1" applyBorder="1" applyAlignment="1">
      <alignment horizontal="center" vertical="center"/>
    </xf>
    <xf numFmtId="0" fontId="11" fillId="0" borderId="36" xfId="0" applyFont="1" applyBorder="1" applyAlignment="1">
      <alignment horizontal="center" vertical="center" readingOrder="1"/>
    </xf>
    <xf numFmtId="0" fontId="11" fillId="0" borderId="38" xfId="0" applyFont="1" applyBorder="1" applyAlignment="1">
      <alignment horizontal="center" vertical="center" readingOrder="1"/>
    </xf>
    <xf numFmtId="0" fontId="5" fillId="0" borderId="14" xfId="0" applyFont="1" applyBorder="1" applyAlignment="1">
      <alignment horizontal="center" vertical="center"/>
    </xf>
    <xf numFmtId="0" fontId="14" fillId="0" borderId="36" xfId="0" applyFont="1" applyBorder="1" applyAlignment="1">
      <alignment horizontal="center" vertical="center"/>
    </xf>
    <xf numFmtId="0" fontId="11" fillId="0" borderId="38" xfId="0" applyFont="1" applyBorder="1" applyAlignment="1">
      <alignment horizontal="right" vertical="center" readingOrder="1"/>
    </xf>
    <xf numFmtId="0" fontId="3" fillId="3" borderId="14" xfId="0" applyFont="1" applyFill="1" applyBorder="1" applyAlignment="1">
      <alignment horizontal="center"/>
    </xf>
    <xf numFmtId="0" fontId="3" fillId="3" borderId="36" xfId="0" applyFont="1" applyFill="1" applyBorder="1" applyAlignment="1">
      <alignment horizontal="center"/>
    </xf>
    <xf numFmtId="0" fontId="3" fillId="3" borderId="38" xfId="0" applyFont="1" applyFill="1" applyBorder="1" applyAlignment="1">
      <alignment horizontal="center"/>
    </xf>
    <xf numFmtId="0" fontId="11" fillId="3" borderId="18" xfId="0" applyFont="1" applyFill="1" applyBorder="1" applyAlignment="1">
      <alignment horizontal="center"/>
    </xf>
    <xf numFmtId="0" fontId="5" fillId="0" borderId="33" xfId="0" applyFont="1" applyBorder="1" applyAlignment="1">
      <alignment horizontal="center"/>
    </xf>
    <xf numFmtId="0" fontId="5" fillId="3" borderId="0" xfId="0" applyFont="1" applyFill="1" applyAlignment="1">
      <alignment horizontal="centerContinuous"/>
    </xf>
    <xf numFmtId="0" fontId="22" fillId="3" borderId="35" xfId="0" applyFont="1" applyFill="1" applyBorder="1" applyAlignment="1">
      <alignment horizontal="left"/>
    </xf>
    <xf numFmtId="0" fontId="23" fillId="3" borderId="19" xfId="0" applyFont="1" applyFill="1" applyBorder="1"/>
    <xf numFmtId="0" fontId="22" fillId="3" borderId="0" xfId="0" applyFont="1" applyFill="1" applyAlignment="1">
      <alignment horizontal="left"/>
    </xf>
    <xf numFmtId="0" fontId="23" fillId="3" borderId="37" xfId="0" applyFont="1" applyFill="1" applyBorder="1"/>
    <xf numFmtId="0" fontId="22" fillId="3" borderId="0" xfId="0" applyFont="1" applyFill="1"/>
    <xf numFmtId="0" fontId="22" fillId="3" borderId="37" xfId="0" applyFont="1" applyFill="1" applyBorder="1"/>
    <xf numFmtId="177" fontId="11" fillId="0" borderId="0" xfId="1" applyNumberFormat="1" applyFont="1" applyFill="1" applyAlignment="1">
      <alignment horizontal="left"/>
    </xf>
    <xf numFmtId="173" fontId="11" fillId="3" borderId="0" xfId="0" applyNumberFormat="1" applyFont="1" applyFill="1" applyAlignment="1">
      <alignment horizontal="right" vertical="center"/>
    </xf>
    <xf numFmtId="176" fontId="12" fillId="3" borderId="0" xfId="5" applyNumberFormat="1" applyFont="1" applyFill="1" applyAlignment="1">
      <alignment horizontal="left"/>
    </xf>
    <xf numFmtId="1" fontId="12" fillId="3" borderId="33" xfId="5" applyNumberFormat="1" applyFont="1" applyFill="1" applyBorder="1" applyAlignment="1">
      <alignment horizontal="centerContinuous" vertical="center"/>
    </xf>
    <xf numFmtId="0" fontId="21" fillId="3" borderId="18" xfId="0" applyFont="1" applyFill="1" applyBorder="1" applyAlignment="1">
      <alignment horizontal="centerContinuous"/>
    </xf>
    <xf numFmtId="0" fontId="5" fillId="3" borderId="13" xfId="0" applyFont="1" applyFill="1" applyBorder="1" applyAlignment="1">
      <alignment horizontal="centerContinuous"/>
    </xf>
    <xf numFmtId="168" fontId="3" fillId="2" borderId="0" xfId="5" applyNumberFormat="1" applyFont="1" applyAlignment="1">
      <alignment horizontal="left"/>
    </xf>
    <xf numFmtId="0" fontId="11" fillId="0" borderId="8" xfId="0" applyFont="1" applyBorder="1" applyAlignment="1">
      <alignment horizontal="left"/>
    </xf>
    <xf numFmtId="0" fontId="5" fillId="0" borderId="20" xfId="0" applyFont="1" applyBorder="1"/>
    <xf numFmtId="0" fontId="5" fillId="0" borderId="13" xfId="0" applyFont="1" applyBorder="1" applyAlignment="1">
      <alignment horizontal="right"/>
    </xf>
    <xf numFmtId="0" fontId="11" fillId="0" borderId="8" xfId="0" applyFont="1" applyBorder="1" applyAlignment="1">
      <alignment horizontal="center" vertical="center"/>
    </xf>
    <xf numFmtId="0" fontId="11" fillId="0" borderId="38" xfId="0" applyFont="1" applyBorder="1" applyAlignment="1">
      <alignment horizontal="center" vertical="center"/>
    </xf>
    <xf numFmtId="2" fontId="3" fillId="2" borderId="0" xfId="5" applyNumberFormat="1" applyFont="1" applyAlignment="1">
      <alignment horizontal="left"/>
    </xf>
    <xf numFmtId="0" fontId="24" fillId="3" borderId="0" xfId="0" applyFont="1" applyFill="1" applyAlignment="1">
      <alignment horizontal="center"/>
    </xf>
    <xf numFmtId="0" fontId="24" fillId="3" borderId="39" xfId="0" applyFont="1" applyFill="1" applyBorder="1" applyAlignment="1">
      <alignment horizontal="center"/>
    </xf>
    <xf numFmtId="0" fontId="5" fillId="3" borderId="33" xfId="0" applyFont="1" applyFill="1" applyBorder="1" applyAlignment="1">
      <alignment horizontal="center"/>
    </xf>
    <xf numFmtId="171" fontId="0" fillId="0" borderId="4" xfId="0" applyNumberFormat="1" applyBorder="1" applyAlignment="1">
      <alignment horizontal="center"/>
    </xf>
    <xf numFmtId="166" fontId="1" fillId="3" borderId="0" xfId="5" applyNumberFormat="1" applyFill="1" applyAlignment="1">
      <alignment horizontal="center" vertical="center"/>
    </xf>
    <xf numFmtId="0" fontId="3" fillId="0" borderId="0" xfId="0" applyFont="1" applyAlignment="1">
      <alignment horizontal="center"/>
    </xf>
    <xf numFmtId="164" fontId="14" fillId="0" borderId="0" xfId="0" applyNumberFormat="1" applyFont="1" applyAlignment="1">
      <alignment horizontal="center"/>
    </xf>
    <xf numFmtId="0" fontId="0" fillId="3" borderId="19" xfId="0" applyFill="1" applyBorder="1" applyAlignment="1">
      <alignment horizontal="right"/>
    </xf>
    <xf numFmtId="0" fontId="0" fillId="3" borderId="37" xfId="0" applyFill="1" applyBorder="1" applyAlignment="1">
      <alignment horizontal="right"/>
    </xf>
    <xf numFmtId="0" fontId="5" fillId="3" borderId="37" xfId="0" applyFont="1" applyFill="1" applyBorder="1" applyAlignment="1">
      <alignment horizontal="right"/>
    </xf>
    <xf numFmtId="170" fontId="22" fillId="3" borderId="0" xfId="5" applyNumberFormat="1" applyFont="1" applyFill="1" applyAlignment="1">
      <alignment horizontal="right"/>
    </xf>
    <xf numFmtId="0" fontId="0" fillId="4" borderId="4" xfId="0" applyFill="1" applyBorder="1"/>
    <xf numFmtId="0" fontId="19" fillId="0" borderId="0" xfId="0" applyFont="1" applyAlignment="1">
      <alignment horizontal="centerContinuous"/>
    </xf>
    <xf numFmtId="182" fontId="11" fillId="3" borderId="35" xfId="5" applyNumberFormat="1" applyFont="1" applyFill="1" applyBorder="1" applyAlignment="1">
      <alignment horizontal="right"/>
    </xf>
    <xf numFmtId="183" fontId="11" fillId="3" borderId="0" xfId="5" applyNumberFormat="1" applyFont="1" applyFill="1" applyAlignment="1">
      <alignment horizontal="right"/>
    </xf>
    <xf numFmtId="183" fontId="11" fillId="3" borderId="0" xfId="5" applyNumberFormat="1" applyFont="1" applyFill="1" applyBorder="1" applyAlignment="1">
      <alignment horizontal="right"/>
    </xf>
    <xf numFmtId="183" fontId="11" fillId="3" borderId="39" xfId="5" applyNumberFormat="1" applyFont="1" applyFill="1" applyBorder="1" applyAlignment="1">
      <alignment horizontal="right"/>
    </xf>
    <xf numFmtId="184" fontId="11" fillId="3" borderId="37" xfId="0" applyNumberFormat="1" applyFont="1" applyFill="1" applyBorder="1" applyAlignment="1">
      <alignment horizontal="right"/>
    </xf>
    <xf numFmtId="184" fontId="11" fillId="3" borderId="40" xfId="0" applyNumberFormat="1" applyFont="1" applyFill="1" applyBorder="1" applyAlignment="1">
      <alignment horizontal="right"/>
    </xf>
    <xf numFmtId="166" fontId="0" fillId="3" borderId="0" xfId="5" applyNumberFormat="1" applyFont="1" applyFill="1" applyAlignment="1">
      <alignment horizontal="right"/>
    </xf>
    <xf numFmtId="166" fontId="11" fillId="3" borderId="0" xfId="5" applyNumberFormat="1" applyFont="1" applyFill="1" applyAlignment="1">
      <alignment horizontal="right"/>
    </xf>
    <xf numFmtId="166" fontId="5" fillId="3" borderId="0" xfId="5" applyNumberFormat="1" applyFont="1" applyFill="1" applyAlignment="1">
      <alignment horizontal="right"/>
    </xf>
    <xf numFmtId="177" fontId="11" fillId="3" borderId="0" xfId="1" applyNumberFormat="1" applyFont="1" applyFill="1" applyAlignment="1">
      <alignment horizontal="right"/>
    </xf>
    <xf numFmtId="180" fontId="11" fillId="3" borderId="0" xfId="0" applyNumberFormat="1" applyFont="1" applyFill="1" applyAlignment="1">
      <alignment horizontal="right" vertical="center"/>
    </xf>
    <xf numFmtId="180" fontId="11" fillId="3" borderId="0" xfId="5" applyNumberFormat="1" applyFont="1" applyFill="1" applyAlignment="1">
      <alignment horizontal="right" vertical="center"/>
    </xf>
    <xf numFmtId="172" fontId="11" fillId="3" borderId="0" xfId="0" applyNumberFormat="1" applyFont="1" applyFill="1" applyAlignment="1">
      <alignment horizontal="right" vertical="center"/>
    </xf>
    <xf numFmtId="165" fontId="11" fillId="3" borderId="33" xfId="0" applyNumberFormat="1" applyFont="1" applyFill="1" applyBorder="1" applyAlignment="1">
      <alignment horizontal="center" vertical="center"/>
    </xf>
    <xf numFmtId="165" fontId="11" fillId="3" borderId="34" xfId="0" applyNumberFormat="1" applyFont="1" applyFill="1" applyBorder="1" applyAlignment="1">
      <alignment horizontal="center" vertical="center"/>
    </xf>
    <xf numFmtId="0" fontId="14" fillId="0" borderId="20" xfId="0" applyFont="1" applyBorder="1" applyAlignment="1">
      <alignment horizontal="center"/>
    </xf>
    <xf numFmtId="0" fontId="14" fillId="0" borderId="39" xfId="0" applyFont="1" applyBorder="1" applyAlignment="1">
      <alignment horizontal="center"/>
    </xf>
    <xf numFmtId="185" fontId="11" fillId="3" borderId="0" xfId="5" applyNumberFormat="1" applyFont="1" applyFill="1" applyAlignment="1">
      <alignment horizontal="right"/>
    </xf>
    <xf numFmtId="186" fontId="11" fillId="3" borderId="37" xfId="0" applyNumberFormat="1" applyFont="1" applyFill="1" applyBorder="1" applyAlignment="1">
      <alignment horizontal="right"/>
    </xf>
    <xf numFmtId="185" fontId="11" fillId="3" borderId="0" xfId="5" applyNumberFormat="1" applyFont="1" applyFill="1" applyBorder="1" applyAlignment="1">
      <alignment horizontal="right"/>
    </xf>
    <xf numFmtId="187" fontId="3" fillId="2" borderId="0" xfId="5" applyNumberFormat="1" applyFont="1" applyAlignment="1">
      <alignment horizontal="left"/>
    </xf>
    <xf numFmtId="0" fontId="5" fillId="5" borderId="0" xfId="0" applyFont="1" applyFill="1"/>
    <xf numFmtId="0" fontId="0" fillId="5" borderId="0" xfId="0" applyFill="1"/>
    <xf numFmtId="165" fontId="1" fillId="2" borderId="0" xfId="5" applyNumberFormat="1" applyAlignment="1">
      <alignment horizontal="right"/>
    </xf>
    <xf numFmtId="2" fontId="4" fillId="0" borderId="4" xfId="0" applyNumberFormat="1" applyFont="1" applyBorder="1" applyAlignment="1">
      <alignment horizontal="center"/>
    </xf>
    <xf numFmtId="0" fontId="3" fillId="0" borderId="4" xfId="0" applyFont="1" applyBorder="1" applyAlignment="1">
      <alignment horizontal="centerContinuous"/>
    </xf>
    <xf numFmtId="0" fontId="4" fillId="0" borderId="4" xfId="0" applyFont="1" applyBorder="1" applyAlignment="1">
      <alignment horizontal="centerContinuous"/>
    </xf>
    <xf numFmtId="2" fontId="4" fillId="3" borderId="0" xfId="0" applyNumberFormat="1" applyFont="1" applyFill="1" applyAlignment="1">
      <alignment horizontal="right"/>
    </xf>
    <xf numFmtId="2" fontId="1" fillId="3" borderId="0" xfId="5" applyNumberFormat="1" applyFill="1" applyAlignment="1">
      <alignment horizontal="right"/>
    </xf>
    <xf numFmtId="165" fontId="11" fillId="3" borderId="0" xfId="5" applyNumberFormat="1" applyFont="1" applyFill="1" applyAlignment="1">
      <alignment horizontal="right"/>
    </xf>
    <xf numFmtId="0" fontId="26" fillId="0" borderId="0" xfId="0" applyFont="1"/>
    <xf numFmtId="167" fontId="5" fillId="2" borderId="0" xfId="5" applyNumberFormat="1" applyFont="1" applyAlignment="1">
      <alignment horizontal="right"/>
    </xf>
    <xf numFmtId="167" fontId="11" fillId="3" borderId="0" xfId="2" applyNumberFormat="1" applyFont="1" applyFill="1" applyAlignment="1">
      <alignment horizontal="right"/>
    </xf>
    <xf numFmtId="190" fontId="11" fillId="3" borderId="0" xfId="5" applyNumberFormat="1" applyFont="1" applyFill="1" applyAlignment="1">
      <alignment horizontal="left"/>
    </xf>
    <xf numFmtId="191" fontId="12" fillId="3" borderId="30" xfId="7" applyNumberFormat="1" applyFont="1" applyFill="1" applyBorder="1" applyAlignment="1">
      <alignment horizontal="left"/>
    </xf>
    <xf numFmtId="192" fontId="5" fillId="3" borderId="0" xfId="0" applyNumberFormat="1" applyFont="1" applyFill="1" applyAlignment="1">
      <alignment horizontal="left"/>
    </xf>
    <xf numFmtId="193" fontId="11" fillId="3" borderId="0" xfId="5" applyNumberFormat="1" applyFont="1" applyFill="1" applyAlignment="1">
      <alignment horizontal="left"/>
    </xf>
    <xf numFmtId="188" fontId="0" fillId="4" borderId="41" xfId="0" applyNumberFormat="1" applyFill="1" applyBorder="1" applyProtection="1">
      <protection locked="0"/>
    </xf>
    <xf numFmtId="165" fontId="5" fillId="2" borderId="0" xfId="5" applyNumberFormat="1" applyFont="1" applyAlignment="1" applyProtection="1">
      <alignment horizontal="left"/>
      <protection locked="0"/>
    </xf>
    <xf numFmtId="169" fontId="5" fillId="2" borderId="0" xfId="5" applyNumberFormat="1" applyFont="1" applyAlignment="1" applyProtection="1">
      <alignment horizontal="center"/>
      <protection locked="0"/>
    </xf>
    <xf numFmtId="167" fontId="5" fillId="2" borderId="0" xfId="5" applyNumberFormat="1" applyFont="1" applyAlignment="1" applyProtection="1">
      <alignment horizontal="left"/>
      <protection locked="0"/>
    </xf>
    <xf numFmtId="0" fontId="5" fillId="0" borderId="3" xfId="4" applyFont="1" applyBorder="1" applyAlignment="1" applyProtection="1">
      <alignment horizontal="center"/>
      <protection locked="0"/>
    </xf>
    <xf numFmtId="187" fontId="3" fillId="2" borderId="0" xfId="5" applyNumberFormat="1" applyFont="1" applyAlignment="1" applyProtection="1">
      <alignment horizontal="left"/>
      <protection locked="0"/>
    </xf>
    <xf numFmtId="168" fontId="3" fillId="2" borderId="0" xfId="5" applyNumberFormat="1" applyFont="1" applyAlignment="1" applyProtection="1">
      <alignment horizontal="left"/>
      <protection locked="0"/>
    </xf>
    <xf numFmtId="2" fontId="3" fillId="2" borderId="0" xfId="5" applyNumberFormat="1" applyFont="1" applyAlignment="1" applyProtection="1">
      <alignment horizontal="left"/>
      <protection locked="0"/>
    </xf>
    <xf numFmtId="171" fontId="11" fillId="4" borderId="24" xfId="5" applyNumberFormat="1" applyFont="1" applyFill="1" applyBorder="1" applyAlignment="1" applyProtection="1">
      <alignment horizontal="center"/>
      <protection locked="0"/>
    </xf>
    <xf numFmtId="1" fontId="11" fillId="4" borderId="0" xfId="5" applyNumberFormat="1" applyFont="1" applyFill="1" applyAlignment="1" applyProtection="1">
      <alignment horizontal="center"/>
      <protection locked="0"/>
    </xf>
    <xf numFmtId="164" fontId="14" fillId="0" borderId="0" xfId="0" applyNumberFormat="1" applyFont="1"/>
    <xf numFmtId="165" fontId="5" fillId="3" borderId="0" xfId="5" applyNumberFormat="1" applyFont="1" applyFill="1" applyAlignment="1" applyProtection="1">
      <alignment horizontal="left"/>
    </xf>
    <xf numFmtId="167" fontId="11" fillId="3" borderId="0" xfId="2" applyNumberFormat="1" applyFont="1" applyFill="1" applyAlignment="1" applyProtection="1">
      <alignment horizontal="left"/>
    </xf>
    <xf numFmtId="166" fontId="0" fillId="3" borderId="0" xfId="5" applyNumberFormat="1" applyFont="1" applyFill="1" applyAlignment="1" applyProtection="1">
      <alignment horizontal="right"/>
    </xf>
    <xf numFmtId="166" fontId="11" fillId="3" borderId="0" xfId="5" applyNumberFormat="1" applyFont="1" applyFill="1" applyAlignment="1" applyProtection="1">
      <alignment horizontal="right"/>
    </xf>
    <xf numFmtId="166" fontId="5" fillId="3" borderId="0" xfId="5" applyNumberFormat="1" applyFont="1" applyFill="1" applyAlignment="1" applyProtection="1">
      <alignment horizontal="right"/>
    </xf>
    <xf numFmtId="173" fontId="11" fillId="3" borderId="0" xfId="5" applyNumberFormat="1" applyFont="1" applyFill="1" applyAlignment="1" applyProtection="1">
      <alignment horizontal="left"/>
    </xf>
    <xf numFmtId="177" fontId="11" fillId="3" borderId="0" xfId="1" applyNumberFormat="1" applyFont="1" applyFill="1" applyAlignment="1" applyProtection="1">
      <alignment horizontal="left"/>
    </xf>
    <xf numFmtId="177" fontId="11" fillId="3" borderId="0" xfId="1" applyNumberFormat="1" applyFont="1" applyFill="1" applyAlignment="1" applyProtection="1">
      <alignment horizontal="right"/>
    </xf>
    <xf numFmtId="189" fontId="12" fillId="3" borderId="0" xfId="1" applyNumberFormat="1" applyFont="1" applyFill="1" applyAlignment="1" applyProtection="1">
      <alignment horizontal="left"/>
    </xf>
    <xf numFmtId="177" fontId="12" fillId="3" borderId="0" xfId="1" applyNumberFormat="1" applyFont="1" applyFill="1" applyAlignment="1" applyProtection="1">
      <alignment horizontal="right"/>
    </xf>
    <xf numFmtId="177" fontId="11" fillId="0" borderId="0" xfId="1" applyNumberFormat="1" applyFont="1" applyFill="1" applyAlignment="1" applyProtection="1">
      <alignment horizontal="left"/>
    </xf>
    <xf numFmtId="1" fontId="12" fillId="3" borderId="33" xfId="5" applyNumberFormat="1" applyFont="1" applyFill="1" applyBorder="1" applyAlignment="1" applyProtection="1">
      <alignment horizontal="centerContinuous" vertical="center"/>
    </xf>
    <xf numFmtId="170" fontId="12" fillId="3" borderId="0" xfId="5" applyNumberFormat="1" applyFont="1" applyFill="1" applyAlignment="1" applyProtection="1">
      <alignment horizontal="left"/>
    </xf>
    <xf numFmtId="182" fontId="11" fillId="3" borderId="35" xfId="5" applyNumberFormat="1" applyFont="1" applyFill="1" applyBorder="1" applyAlignment="1" applyProtection="1">
      <alignment horizontal="right"/>
    </xf>
    <xf numFmtId="183" fontId="11" fillId="3" borderId="0" xfId="5" applyNumberFormat="1" applyFont="1" applyFill="1" applyBorder="1" applyAlignment="1" applyProtection="1">
      <alignment horizontal="right"/>
    </xf>
    <xf numFmtId="170" fontId="22" fillId="3" borderId="0" xfId="5" applyNumberFormat="1" applyFont="1" applyFill="1" applyBorder="1" applyAlignment="1" applyProtection="1">
      <alignment horizontal="right"/>
    </xf>
    <xf numFmtId="185" fontId="11" fillId="3" borderId="0" xfId="5" applyNumberFormat="1" applyFont="1" applyFill="1" applyBorder="1" applyAlignment="1" applyProtection="1">
      <alignment horizontal="right"/>
    </xf>
    <xf numFmtId="185" fontId="11" fillId="3" borderId="39" xfId="5" applyNumberFormat="1" applyFont="1" applyFill="1" applyBorder="1" applyAlignment="1" applyProtection="1">
      <alignment horizontal="right"/>
    </xf>
    <xf numFmtId="180" fontId="11" fillId="3" borderId="0" xfId="5" applyNumberFormat="1" applyFont="1" applyFill="1" applyAlignment="1" applyProtection="1">
      <alignment horizontal="right" vertical="center"/>
    </xf>
    <xf numFmtId="180" fontId="11" fillId="3" borderId="0" xfId="5" applyNumberFormat="1" applyFont="1" applyFill="1" applyAlignment="1" applyProtection="1">
      <alignment horizontal="center"/>
    </xf>
    <xf numFmtId="0" fontId="5" fillId="0" borderId="0" xfId="0" applyFont="1" applyAlignment="1" applyProtection="1">
      <alignment horizontal="right"/>
      <protection hidden="1"/>
    </xf>
    <xf numFmtId="0" fontId="5" fillId="0" borderId="0" xfId="0" applyFont="1" applyAlignment="1" applyProtection="1">
      <alignment horizontal="left"/>
      <protection hidden="1"/>
    </xf>
    <xf numFmtId="173" fontId="11" fillId="3" borderId="0" xfId="0" applyNumberFormat="1" applyFont="1" applyFill="1" applyAlignment="1">
      <alignment horizontal="left" vertical="center"/>
    </xf>
    <xf numFmtId="195" fontId="5" fillId="2" borderId="0" xfId="5" applyNumberFormat="1" applyFont="1" applyAlignment="1">
      <alignment horizontal="left"/>
    </xf>
    <xf numFmtId="170" fontId="12" fillId="3" borderId="0" xfId="5" applyNumberFormat="1" applyFont="1" applyFill="1" applyAlignment="1">
      <alignment horizontal="left"/>
    </xf>
    <xf numFmtId="0" fontId="14" fillId="0" borderId="6" xfId="0" applyFont="1" applyBorder="1" applyAlignment="1">
      <alignment horizontal="right"/>
    </xf>
    <xf numFmtId="0" fontId="14" fillId="0" borderId="5" xfId="0" applyFont="1" applyBorder="1" applyAlignment="1">
      <alignment horizontal="center"/>
    </xf>
    <xf numFmtId="0" fontId="0" fillId="3" borderId="0" xfId="0" applyFill="1" applyAlignment="1">
      <alignment horizontal="left"/>
    </xf>
    <xf numFmtId="171" fontId="11" fillId="4" borderId="26" xfId="5" applyNumberFormat="1" applyFont="1" applyFill="1" applyBorder="1" applyAlignment="1" applyProtection="1">
      <alignment horizontal="center"/>
      <protection locked="0"/>
    </xf>
    <xf numFmtId="0" fontId="12" fillId="0" borderId="0" xfId="0" applyFont="1"/>
    <xf numFmtId="0" fontId="5" fillId="0" borderId="42" xfId="0" applyFont="1" applyBorder="1" applyAlignment="1">
      <alignment horizontal="right"/>
    </xf>
    <xf numFmtId="166" fontId="1" fillId="3" borderId="5" xfId="5" applyNumberFormat="1" applyFill="1" applyBorder="1" applyAlignment="1" applyProtection="1">
      <alignment horizontal="center" vertical="center"/>
    </xf>
    <xf numFmtId="0" fontId="14" fillId="0" borderId="3" xfId="4" applyFont="1" applyBorder="1" applyAlignment="1" applyProtection="1">
      <alignment horizontal="center"/>
      <protection locked="0"/>
    </xf>
    <xf numFmtId="0" fontId="5" fillId="0" borderId="0" xfId="0" applyFont="1" applyAlignment="1">
      <alignment horizontal="right" indent="1"/>
    </xf>
    <xf numFmtId="176" fontId="3" fillId="2" borderId="0" xfId="5" applyNumberFormat="1" applyFont="1" applyAlignment="1">
      <alignment horizontal="left"/>
    </xf>
    <xf numFmtId="1" fontId="1" fillId="2" borderId="4" xfId="5" applyNumberFormat="1" applyBorder="1" applyAlignment="1">
      <alignment horizontal="center"/>
    </xf>
    <xf numFmtId="171" fontId="11" fillId="2" borderId="4" xfId="5" applyNumberFormat="1" applyFont="1" applyBorder="1" applyAlignment="1">
      <alignment horizontal="center"/>
    </xf>
    <xf numFmtId="196" fontId="5" fillId="3" borderId="0" xfId="0" applyNumberFormat="1" applyFont="1" applyFill="1"/>
    <xf numFmtId="0" fontId="29" fillId="0" borderId="0" xfId="0" applyFont="1"/>
    <xf numFmtId="197" fontId="1" fillId="2" borderId="0" xfId="5" applyNumberFormat="1" applyAlignment="1" applyProtection="1">
      <alignment horizontal="right"/>
    </xf>
    <xf numFmtId="176" fontId="14" fillId="3" borderId="0" xfId="0" applyNumberFormat="1" applyFont="1" applyFill="1"/>
    <xf numFmtId="199" fontId="1" fillId="2" borderId="0" xfId="5" applyNumberFormat="1" applyAlignment="1" applyProtection="1">
      <alignment horizontal="right"/>
    </xf>
    <xf numFmtId="200" fontId="1" fillId="2" borderId="0" xfId="5" applyNumberFormat="1" applyAlignment="1" applyProtection="1">
      <alignment horizontal="center"/>
    </xf>
    <xf numFmtId="43" fontId="0" fillId="0" borderId="0" xfId="1" applyFont="1" applyAlignment="1" applyProtection="1">
      <alignment horizontal="right"/>
    </xf>
    <xf numFmtId="171" fontId="11" fillId="4" borderId="43" xfId="5" applyNumberFormat="1" applyFont="1" applyFill="1" applyBorder="1" applyAlignment="1" applyProtection="1">
      <alignment horizontal="center"/>
      <protection locked="0"/>
    </xf>
    <xf numFmtId="0" fontId="19" fillId="0" borderId="0" xfId="0" applyFont="1" applyAlignment="1">
      <alignment horizontal="left"/>
    </xf>
    <xf numFmtId="178" fontId="5" fillId="0" borderId="0" xfId="0" applyNumberFormat="1" applyFont="1"/>
    <xf numFmtId="203" fontId="14" fillId="3" borderId="0" xfId="1" applyNumberFormat="1" applyFont="1" applyFill="1" applyAlignment="1">
      <alignment horizontal="left"/>
    </xf>
    <xf numFmtId="0" fontId="5" fillId="3" borderId="0" xfId="5" applyNumberFormat="1" applyFont="1" applyFill="1" applyAlignment="1">
      <alignment horizontal="left"/>
    </xf>
    <xf numFmtId="204" fontId="11" fillId="3" borderId="0" xfId="5" applyNumberFormat="1" applyFont="1" applyFill="1" applyAlignment="1">
      <alignment horizontal="left"/>
    </xf>
    <xf numFmtId="205" fontId="5" fillId="0" borderId="0" xfId="0" applyNumberFormat="1" applyFont="1"/>
    <xf numFmtId="0" fontId="32" fillId="0" borderId="0" xfId="0" applyFont="1"/>
    <xf numFmtId="0" fontId="5" fillId="0" borderId="0" xfId="0" applyFont="1" applyAlignment="1">
      <alignment horizontal="left" vertical="top"/>
    </xf>
    <xf numFmtId="0" fontId="33" fillId="0" borderId="0" xfId="0" applyFont="1" applyAlignment="1">
      <alignment horizontal="right"/>
    </xf>
    <xf numFmtId="0" fontId="34" fillId="0" borderId="0" xfId="0" applyFont="1" applyAlignment="1">
      <alignment horizontal="center"/>
    </xf>
    <xf numFmtId="0" fontId="1" fillId="2" borderId="0" xfId="5"/>
    <xf numFmtId="181" fontId="5" fillId="3" borderId="0" xfId="0" applyNumberFormat="1" applyFont="1" applyFill="1"/>
    <xf numFmtId="166" fontId="4" fillId="3" borderId="0" xfId="5" applyNumberFormat="1" applyFont="1" applyFill="1" applyAlignment="1" applyProtection="1">
      <alignment horizontal="right"/>
    </xf>
    <xf numFmtId="202" fontId="26" fillId="0" borderId="0" xfId="5" applyNumberFormat="1" applyFont="1" applyFill="1" applyAlignment="1" applyProtection="1">
      <alignment horizontal="right"/>
    </xf>
    <xf numFmtId="167" fontId="16" fillId="0" borderId="0" xfId="2" applyNumberFormat="1" applyFont="1" applyFill="1" applyAlignment="1">
      <alignment horizontal="right"/>
    </xf>
    <xf numFmtId="166" fontId="5" fillId="0" borderId="0" xfId="0" applyNumberFormat="1" applyFont="1" applyAlignment="1">
      <alignment horizontal="left"/>
    </xf>
    <xf numFmtId="0" fontId="3" fillId="0" borderId="4" xfId="0" applyFont="1" applyBorder="1" applyAlignment="1">
      <alignment horizontal="left" vertical="center"/>
    </xf>
    <xf numFmtId="171" fontId="4" fillId="2" borderId="4" xfId="5" applyNumberFormat="1" applyFont="1" applyBorder="1" applyAlignment="1">
      <alignment horizontal="center"/>
    </xf>
    <xf numFmtId="201" fontId="4" fillId="3" borderId="0" xfId="5" applyNumberFormat="1" applyFont="1" applyFill="1" applyAlignment="1" applyProtection="1">
      <alignment horizontal="right"/>
    </xf>
    <xf numFmtId="200" fontId="11" fillId="3" borderId="0" xfId="1" applyNumberFormat="1" applyFont="1" applyFill="1" applyAlignment="1" applyProtection="1">
      <alignment horizontal="center"/>
    </xf>
    <xf numFmtId="176" fontId="12" fillId="3" borderId="0" xfId="0" applyNumberFormat="1" applyFont="1" applyFill="1"/>
    <xf numFmtId="0" fontId="3" fillId="0" borderId="0" xfId="0" applyFont="1" applyAlignment="1">
      <alignment horizontal="right"/>
    </xf>
    <xf numFmtId="198" fontId="12" fillId="3" borderId="0" xfId="5" applyNumberFormat="1" applyFont="1" applyFill="1" applyAlignment="1" applyProtection="1">
      <alignment horizontal="right"/>
    </xf>
    <xf numFmtId="0" fontId="0" fillId="3" borderId="0" xfId="0" applyFill="1" applyAlignment="1">
      <alignment horizontal="centerContinuous"/>
    </xf>
    <xf numFmtId="0" fontId="3" fillId="3" borderId="0" xfId="0" applyFont="1" applyFill="1" applyAlignment="1">
      <alignment horizontal="left"/>
    </xf>
    <xf numFmtId="0" fontId="5" fillId="0" borderId="5" xfId="0" applyFont="1" applyBorder="1" applyAlignment="1">
      <alignment horizontal="right"/>
    </xf>
    <xf numFmtId="186" fontId="16" fillId="3" borderId="40" xfId="0" applyNumberFormat="1" applyFont="1" applyFill="1" applyBorder="1" applyAlignment="1">
      <alignment horizontal="right"/>
    </xf>
    <xf numFmtId="186" fontId="16" fillId="3" borderId="37" xfId="0" applyNumberFormat="1" applyFont="1" applyFill="1" applyBorder="1" applyAlignment="1">
      <alignment horizontal="right"/>
    </xf>
    <xf numFmtId="0" fontId="12" fillId="0" borderId="0" xfId="0" applyFont="1" applyAlignment="1">
      <alignment horizontal="right" indent="1"/>
    </xf>
    <xf numFmtId="0" fontId="14" fillId="0" borderId="0" xfId="0" applyFont="1" applyAlignment="1">
      <alignment horizontal="right" indent="1"/>
    </xf>
    <xf numFmtId="0" fontId="3" fillId="3" borderId="35" xfId="0" applyFont="1" applyFill="1" applyBorder="1" applyAlignment="1">
      <alignment horizontal="center"/>
    </xf>
    <xf numFmtId="186" fontId="11" fillId="3" borderId="40" xfId="0" applyNumberFormat="1" applyFont="1" applyFill="1" applyBorder="1" applyAlignment="1">
      <alignment horizontal="right"/>
    </xf>
    <xf numFmtId="0" fontId="5" fillId="3" borderId="18" xfId="0" applyFont="1" applyFill="1" applyBorder="1" applyAlignment="1">
      <alignment horizontal="center"/>
    </xf>
    <xf numFmtId="0" fontId="5" fillId="3" borderId="19" xfId="0" applyFont="1" applyFill="1" applyBorder="1" applyAlignment="1">
      <alignment horizontal="centerContinuous"/>
    </xf>
    <xf numFmtId="173" fontId="12" fillId="3" borderId="0" xfId="0" applyNumberFormat="1" applyFont="1" applyFill="1" applyAlignment="1">
      <alignment horizontal="right" vertical="center"/>
    </xf>
    <xf numFmtId="4" fontId="5" fillId="0" borderId="0" xfId="0" applyNumberFormat="1" applyFont="1" applyAlignment="1">
      <alignment horizontal="right"/>
    </xf>
    <xf numFmtId="181" fontId="0" fillId="0" borderId="0" xfId="0" applyNumberFormat="1"/>
    <xf numFmtId="0" fontId="14" fillId="0" borderId="6" xfId="0" applyFont="1" applyBorder="1" applyAlignment="1">
      <alignment horizontal="center"/>
    </xf>
    <xf numFmtId="4" fontId="5" fillId="0" borderId="0" xfId="0" applyNumberFormat="1" applyFont="1" applyAlignment="1">
      <alignment horizontal="left"/>
    </xf>
    <xf numFmtId="206" fontId="0" fillId="0" borderId="0" xfId="1" quotePrefix="1" applyNumberFormat="1" applyFont="1" applyProtection="1"/>
    <xf numFmtId="4" fontId="14" fillId="0" borderId="6" xfId="0" applyNumberFormat="1" applyFont="1" applyBorder="1" applyAlignment="1">
      <alignment horizontal="center"/>
    </xf>
    <xf numFmtId="0" fontId="0" fillId="0" borderId="0" xfId="0" quotePrefix="1"/>
    <xf numFmtId="0" fontId="3" fillId="0" borderId="6" xfId="0" applyFont="1" applyBorder="1" applyAlignment="1">
      <alignment horizontal="center"/>
    </xf>
    <xf numFmtId="0" fontId="0" fillId="4" borderId="4" xfId="0" applyFill="1" applyBorder="1" applyAlignment="1" applyProtection="1">
      <alignment horizontal="center" vertical="center"/>
      <protection locked="0"/>
    </xf>
    <xf numFmtId="165" fontId="4" fillId="3" borderId="0" xfId="0" applyNumberFormat="1" applyFont="1" applyFill="1"/>
    <xf numFmtId="176" fontId="4" fillId="3" borderId="0" xfId="5" applyNumberFormat="1" applyFont="1" applyFill="1" applyAlignment="1">
      <alignment horizontal="right"/>
    </xf>
    <xf numFmtId="0" fontId="12" fillId="0" borderId="44" xfId="7" applyFont="1" applyBorder="1" applyAlignment="1">
      <alignment horizontal="right"/>
    </xf>
    <xf numFmtId="196" fontId="16" fillId="0" borderId="0" xfId="0" quotePrefix="1" applyNumberFormat="1" applyFont="1"/>
    <xf numFmtId="0" fontId="19" fillId="0" borderId="0" xfId="0" applyFont="1"/>
    <xf numFmtId="0" fontId="0" fillId="0" borderId="45" xfId="0" applyBorder="1"/>
    <xf numFmtId="0" fontId="0" fillId="0" borderId="45" xfId="0" applyBorder="1" applyAlignment="1">
      <alignment horizontal="right"/>
    </xf>
    <xf numFmtId="0" fontId="0" fillId="0" borderId="46" xfId="0" applyBorder="1"/>
    <xf numFmtId="0" fontId="0" fillId="0" borderId="46" xfId="0" applyBorder="1" applyAlignment="1">
      <alignment horizontal="right"/>
    </xf>
    <xf numFmtId="0" fontId="0" fillId="0" borderId="26" xfId="0" applyBorder="1" applyAlignment="1">
      <alignment horizontal="center"/>
    </xf>
    <xf numFmtId="0" fontId="0" fillId="0" borderId="17" xfId="0" applyBorder="1" applyAlignment="1">
      <alignment horizontal="center"/>
    </xf>
    <xf numFmtId="0" fontId="3" fillId="0" borderId="17" xfId="0" applyFont="1" applyBorder="1" applyAlignment="1">
      <alignment horizontal="centerContinuous"/>
    </xf>
    <xf numFmtId="0" fontId="3" fillId="0" borderId="45" xfId="0" applyFont="1" applyBorder="1" applyAlignment="1">
      <alignment horizontal="centerContinuous"/>
    </xf>
    <xf numFmtId="0" fontId="3" fillId="0" borderId="23" xfId="0" applyFont="1" applyBorder="1" applyAlignment="1">
      <alignment horizontal="centerContinuous"/>
    </xf>
    <xf numFmtId="0" fontId="5" fillId="0" borderId="0" xfId="0" applyFont="1" applyAlignment="1">
      <alignment horizontal="left" vertical="top" indent="1"/>
    </xf>
    <xf numFmtId="0" fontId="11" fillId="3" borderId="0" xfId="0" applyFont="1" applyFill="1" applyAlignment="1">
      <alignment horizontal="center" vertical="center"/>
    </xf>
    <xf numFmtId="0" fontId="11" fillId="0" borderId="0" xfId="0" applyFont="1" applyAlignment="1">
      <alignment horizontal="center" vertical="center"/>
    </xf>
    <xf numFmtId="180" fontId="12" fillId="3" borderId="0" xfId="5" quotePrefix="1" applyNumberFormat="1" applyFont="1" applyFill="1" applyAlignment="1" applyProtection="1">
      <alignment horizontal="right"/>
    </xf>
    <xf numFmtId="0" fontId="0" fillId="0" borderId="4" xfId="0" applyBorder="1" applyAlignment="1">
      <alignment horizontal="centerContinuous" vertical="center"/>
    </xf>
    <xf numFmtId="0" fontId="0" fillId="0" borderId="4" xfId="0" applyBorder="1" applyAlignment="1">
      <alignment horizontal="center" vertical="center"/>
    </xf>
    <xf numFmtId="0" fontId="4" fillId="3" borderId="0" xfId="0" applyFont="1" applyFill="1"/>
    <xf numFmtId="0" fontId="5" fillId="0" borderId="0" xfId="0" applyFont="1" applyAlignment="1">
      <alignment horizontal="center" vertical="center"/>
    </xf>
    <xf numFmtId="0" fontId="1" fillId="2" borderId="0" xfId="5" applyAlignment="1">
      <alignment horizontal="center"/>
    </xf>
    <xf numFmtId="176" fontId="5" fillId="3" borderId="0" xfId="0" applyNumberFormat="1" applyFont="1" applyFill="1"/>
    <xf numFmtId="176" fontId="11" fillId="3" borderId="0" xfId="0" applyNumberFormat="1" applyFont="1" applyFill="1"/>
    <xf numFmtId="0" fontId="46" fillId="0" borderId="0" xfId="0" applyFont="1" applyAlignment="1">
      <alignment horizontal="center"/>
    </xf>
    <xf numFmtId="209" fontId="5" fillId="2" borderId="0" xfId="5" applyNumberFormat="1" applyFont="1" applyAlignment="1" applyProtection="1">
      <alignment horizontal="left"/>
      <protection locked="0"/>
    </xf>
    <xf numFmtId="210" fontId="4" fillId="3" borderId="0" xfId="5" applyNumberFormat="1" applyFont="1" applyFill="1" applyAlignment="1" applyProtection="1">
      <alignment horizontal="right"/>
    </xf>
    <xf numFmtId="199" fontId="5" fillId="2" borderId="0" xfId="5" applyNumberFormat="1" applyFont="1" applyAlignment="1" applyProtection="1">
      <alignment horizontal="center" vertical="center"/>
      <protection locked="0"/>
    </xf>
    <xf numFmtId="0" fontId="26" fillId="0" borderId="0" xfId="0" applyFont="1" applyAlignment="1">
      <alignment horizontal="left"/>
    </xf>
    <xf numFmtId="174" fontId="4" fillId="3" borderId="0" xfId="0" applyNumberFormat="1" applyFont="1" applyFill="1"/>
    <xf numFmtId="166" fontId="0" fillId="0" borderId="0" xfId="5" applyNumberFormat="1" applyFont="1" applyFill="1" applyAlignment="1" applyProtection="1">
      <alignment horizontal="right"/>
    </xf>
    <xf numFmtId="165" fontId="5" fillId="0" borderId="0" xfId="5" applyNumberFormat="1" applyFont="1" applyFill="1" applyAlignment="1" applyProtection="1">
      <alignment horizontal="left"/>
      <protection locked="0"/>
    </xf>
    <xf numFmtId="166" fontId="11" fillId="0" borderId="0" xfId="5" applyNumberFormat="1" applyFont="1" applyFill="1" applyAlignment="1" applyProtection="1">
      <alignment horizontal="right"/>
    </xf>
    <xf numFmtId="0" fontId="0" fillId="3" borderId="0" xfId="0" applyFill="1" applyAlignment="1">
      <alignment horizontal="center"/>
    </xf>
    <xf numFmtId="213" fontId="0" fillId="3" borderId="0" xfId="0" applyNumberFormat="1" applyFill="1" applyAlignment="1">
      <alignment horizontal="center"/>
    </xf>
    <xf numFmtId="219" fontId="1" fillId="2" borderId="0" xfId="5" applyNumberFormat="1" applyAlignment="1">
      <alignment horizontal="center"/>
    </xf>
    <xf numFmtId="0" fontId="46" fillId="0" borderId="0" xfId="0" applyFont="1" applyAlignment="1">
      <alignment horizontal="left"/>
    </xf>
    <xf numFmtId="0" fontId="5" fillId="0" borderId="3" xfId="4" applyFont="1" applyFill="1" applyBorder="1" applyAlignment="1" applyProtection="1">
      <alignment horizontal="center"/>
      <protection locked="0"/>
    </xf>
    <xf numFmtId="207" fontId="11" fillId="3" borderId="0" xfId="5" applyNumberFormat="1" applyFont="1" applyFill="1" applyAlignment="1" applyProtection="1">
      <alignment horizontal="right"/>
    </xf>
    <xf numFmtId="170" fontId="12" fillId="3" borderId="0" xfId="0" applyNumberFormat="1" applyFont="1" applyFill="1"/>
    <xf numFmtId="0" fontId="4" fillId="0" borderId="4" xfId="0" applyFont="1" applyBorder="1" applyAlignment="1">
      <alignment horizontal="left"/>
    </xf>
    <xf numFmtId="213" fontId="11" fillId="3" borderId="0" xfId="0" applyNumberFormat="1" applyFont="1" applyFill="1" applyAlignment="1">
      <alignment horizontal="center"/>
    </xf>
    <xf numFmtId="208" fontId="11" fillId="0" borderId="0" xfId="0" applyNumberFormat="1" applyFont="1"/>
    <xf numFmtId="181" fontId="11" fillId="3" borderId="0" xfId="0" applyNumberFormat="1" applyFont="1" applyFill="1" applyAlignment="1">
      <alignment horizontal="right"/>
    </xf>
    <xf numFmtId="0" fontId="4" fillId="0" borderId="0" xfId="0" applyFont="1" applyAlignment="1">
      <alignment horizontal="center" vertical="center"/>
    </xf>
    <xf numFmtId="220" fontId="12" fillId="3" borderId="0" xfId="5" applyNumberFormat="1" applyFont="1" applyFill="1" applyAlignment="1" applyProtection="1">
      <alignment horizontal="right"/>
    </xf>
    <xf numFmtId="220" fontId="12" fillId="3" borderId="0" xfId="5" quotePrefix="1" applyNumberFormat="1" applyFont="1" applyFill="1" applyAlignment="1" applyProtection="1">
      <alignment horizontal="right"/>
    </xf>
    <xf numFmtId="1" fontId="4" fillId="3" borderId="0" xfId="1" applyNumberFormat="1" applyFont="1" applyFill="1" applyAlignment="1" applyProtection="1">
      <alignment horizontal="center" vertical="center"/>
    </xf>
    <xf numFmtId="0" fontId="4" fillId="0" borderId="0" xfId="0" applyFont="1"/>
    <xf numFmtId="220" fontId="12" fillId="3" borderId="30" xfId="7" applyNumberFormat="1" applyFont="1" applyFill="1" applyBorder="1" applyAlignment="1">
      <alignment horizontal="left"/>
    </xf>
    <xf numFmtId="201" fontId="4" fillId="3" borderId="23" xfId="5" applyNumberFormat="1" applyFont="1" applyFill="1" applyBorder="1" applyAlignment="1" applyProtection="1">
      <alignment horizontal="right"/>
    </xf>
    <xf numFmtId="201" fontId="4" fillId="3" borderId="25" xfId="5" applyNumberFormat="1" applyFont="1" applyFill="1" applyBorder="1" applyAlignment="1" applyProtection="1">
      <alignment horizontal="right"/>
    </xf>
    <xf numFmtId="0" fontId="14" fillId="7" borderId="0" xfId="0" applyFont="1" applyFill="1"/>
    <xf numFmtId="0" fontId="11" fillId="7" borderId="0" xfId="0" applyFont="1" applyFill="1" applyAlignment="1">
      <alignment horizontal="right"/>
    </xf>
    <xf numFmtId="0" fontId="5" fillId="7" borderId="3" xfId="4" applyFont="1" applyFill="1" applyBorder="1" applyAlignment="1">
      <alignment horizontal="left"/>
    </xf>
    <xf numFmtId="0" fontId="5" fillId="7" borderId="0" xfId="0" applyFont="1" applyFill="1" applyAlignment="1">
      <alignment horizontal="right"/>
    </xf>
    <xf numFmtId="0" fontId="11" fillId="7" borderId="0" xfId="0" applyFont="1" applyFill="1" applyAlignment="1">
      <alignment horizontal="left"/>
    </xf>
    <xf numFmtId="166" fontId="11" fillId="7" borderId="0" xfId="5" applyNumberFormat="1" applyFont="1" applyFill="1" applyAlignment="1" applyProtection="1">
      <alignment horizontal="right"/>
    </xf>
    <xf numFmtId="0" fontId="40" fillId="7" borderId="0" xfId="0" applyFont="1" applyFill="1" applyAlignment="1">
      <alignment horizontal="right"/>
    </xf>
    <xf numFmtId="43" fontId="11" fillId="7" borderId="0" xfId="1" applyFont="1" applyFill="1" applyAlignment="1" applyProtection="1">
      <alignment horizontal="left"/>
    </xf>
    <xf numFmtId="0" fontId="12" fillId="7" borderId="0" xfId="0" applyFont="1" applyFill="1"/>
    <xf numFmtId="0" fontId="11" fillId="7" borderId="0" xfId="0" applyFont="1" applyFill="1" applyAlignment="1">
      <alignment horizontal="center"/>
    </xf>
    <xf numFmtId="1" fontId="1" fillId="7" borderId="4" xfId="5" applyNumberFormat="1" applyFill="1" applyBorder="1" applyAlignment="1">
      <alignment horizontal="center"/>
    </xf>
    <xf numFmtId="171" fontId="11" fillId="7" borderId="4" xfId="5" applyNumberFormat="1" applyFont="1" applyFill="1" applyBorder="1" applyAlignment="1">
      <alignment horizontal="center"/>
    </xf>
    <xf numFmtId="43" fontId="11" fillId="7" borderId="0" xfId="1" applyFont="1" applyFill="1" applyAlignment="1" applyProtection="1">
      <alignment horizontal="center"/>
    </xf>
    <xf numFmtId="0" fontId="4" fillId="7" borderId="0" xfId="5" applyFont="1" applyFill="1" applyAlignment="1">
      <alignment horizontal="center"/>
    </xf>
    <xf numFmtId="0" fontId="4" fillId="7" borderId="0" xfId="0" applyFont="1" applyFill="1" applyAlignment="1">
      <alignment horizontal="left"/>
    </xf>
    <xf numFmtId="171" fontId="11" fillId="7" borderId="0" xfId="4" applyNumberFormat="1" applyFont="1" applyFill="1" applyBorder="1" applyAlignment="1">
      <alignment horizontal="center"/>
    </xf>
    <xf numFmtId="201" fontId="4" fillId="7" borderId="0" xfId="5" applyNumberFormat="1" applyFont="1" applyFill="1" applyAlignment="1" applyProtection="1">
      <alignment horizontal="right"/>
    </xf>
    <xf numFmtId="211" fontId="4" fillId="7" borderId="0" xfId="5" applyNumberFormat="1" applyFont="1" applyFill="1" applyAlignment="1" applyProtection="1">
      <alignment horizontal="right"/>
    </xf>
    <xf numFmtId="0" fontId="4" fillId="7" borderId="0" xfId="5" applyNumberFormat="1" applyFont="1" applyFill="1" applyAlignment="1" applyProtection="1">
      <alignment horizontal="right"/>
    </xf>
    <xf numFmtId="0" fontId="49" fillId="0" borderId="0" xfId="8" applyFont="1" applyFill="1" applyAlignment="1" applyProtection="1">
      <alignment horizontal="left" vertical="top" wrapText="1"/>
    </xf>
    <xf numFmtId="9" fontId="1" fillId="2" borderId="0" xfId="2" applyFill="1" applyAlignment="1">
      <alignment horizontal="center" vertical="center"/>
    </xf>
    <xf numFmtId="0" fontId="19" fillId="0" borderId="0" xfId="0" applyFont="1" applyAlignment="1">
      <alignment horizontal="right"/>
    </xf>
    <xf numFmtId="0" fontId="14" fillId="0" borderId="0" xfId="0" applyFont="1" applyAlignment="1">
      <alignment vertical="top"/>
    </xf>
    <xf numFmtId="0" fontId="31" fillId="0" borderId="0" xfId="0" applyFont="1" applyAlignment="1">
      <alignment horizontal="center" vertical="center"/>
    </xf>
    <xf numFmtId="165" fontId="5" fillId="7" borderId="0" xfId="5" applyNumberFormat="1" applyFont="1" applyFill="1" applyAlignment="1" applyProtection="1">
      <alignment horizontal="left"/>
      <protection locked="0"/>
    </xf>
    <xf numFmtId="0" fontId="0" fillId="7" borderId="0" xfId="0" applyFill="1"/>
    <xf numFmtId="0" fontId="14" fillId="7" borderId="0" xfId="0" applyFont="1" applyFill="1" applyAlignment="1">
      <alignment horizontal="right"/>
    </xf>
    <xf numFmtId="0" fontId="0" fillId="7" borderId="0" xfId="0" applyFill="1" applyAlignment="1">
      <alignment horizontal="center"/>
    </xf>
    <xf numFmtId="1" fontId="4" fillId="7" borderId="0" xfId="5" applyNumberFormat="1" applyFont="1" applyFill="1" applyAlignment="1">
      <alignment horizontal="center"/>
    </xf>
    <xf numFmtId="216" fontId="4" fillId="3" borderId="0" xfId="5" applyNumberFormat="1" applyFont="1" applyFill="1" applyAlignment="1" applyProtection="1">
      <alignment horizontal="center"/>
    </xf>
    <xf numFmtId="214" fontId="4" fillId="3" borderId="0" xfId="5" applyNumberFormat="1" applyFont="1" applyFill="1" applyAlignment="1" applyProtection="1">
      <alignment horizontal="right"/>
      <protection locked="0"/>
    </xf>
    <xf numFmtId="180" fontId="4" fillId="3" borderId="0" xfId="5" applyNumberFormat="1" applyFont="1" applyFill="1" applyAlignment="1" applyProtection="1">
      <alignment horizontal="right"/>
    </xf>
    <xf numFmtId="199" fontId="4" fillId="3" borderId="0" xfId="5" applyNumberFormat="1" applyFont="1" applyFill="1" applyAlignment="1" applyProtection="1">
      <alignment horizontal="right"/>
      <protection locked="0"/>
    </xf>
    <xf numFmtId="213" fontId="1" fillId="3" borderId="0" xfId="0" applyNumberFormat="1" applyFont="1" applyFill="1" applyAlignment="1">
      <alignment horizontal="right"/>
    </xf>
    <xf numFmtId="172" fontId="4" fillId="3" borderId="0" xfId="5" applyNumberFormat="1" applyFont="1" applyFill="1" applyAlignment="1" applyProtection="1">
      <alignment horizontal="right"/>
    </xf>
    <xf numFmtId="214" fontId="1" fillId="3" borderId="0" xfId="5" applyNumberFormat="1" applyFill="1" applyAlignment="1" applyProtection="1">
      <alignment horizontal="right"/>
      <protection locked="0"/>
    </xf>
    <xf numFmtId="215" fontId="4" fillId="3" borderId="0" xfId="5" applyNumberFormat="1" applyFont="1" applyFill="1" applyAlignment="1" applyProtection="1">
      <alignment horizontal="right"/>
      <protection locked="0"/>
    </xf>
    <xf numFmtId="173" fontId="4" fillId="3" borderId="0" xfId="5" applyNumberFormat="1" applyFont="1" applyFill="1" applyAlignment="1" applyProtection="1">
      <alignment horizontal="right"/>
      <protection locked="0"/>
    </xf>
    <xf numFmtId="217" fontId="4" fillId="3" borderId="0" xfId="5" applyNumberFormat="1" applyFont="1" applyFill="1" applyAlignment="1" applyProtection="1">
      <alignment horizontal="right"/>
      <protection locked="0"/>
    </xf>
    <xf numFmtId="194" fontId="3" fillId="3" borderId="0" xfId="0" applyNumberFormat="1" applyFont="1" applyFill="1"/>
    <xf numFmtId="0" fontId="1" fillId="0" borderId="0" xfId="0" applyFont="1"/>
    <xf numFmtId="212" fontId="1" fillId="3" borderId="0" xfId="0" applyNumberFormat="1" applyFont="1" applyFill="1"/>
    <xf numFmtId="218" fontId="3" fillId="3" borderId="0" xfId="5" applyNumberFormat="1" applyFont="1" applyFill="1" applyAlignment="1" applyProtection="1">
      <alignment horizontal="right"/>
      <protection locked="0"/>
    </xf>
    <xf numFmtId="221" fontId="14" fillId="0" borderId="0" xfId="0" applyNumberFormat="1" applyFont="1"/>
    <xf numFmtId="164" fontId="19" fillId="0" borderId="0" xfId="0" applyNumberFormat="1" applyFont="1"/>
    <xf numFmtId="0" fontId="16" fillId="0" borderId="0" xfId="0" applyFont="1" applyAlignment="1">
      <alignment horizontal="left"/>
    </xf>
    <xf numFmtId="2" fontId="19" fillId="0" borderId="0" xfId="0" applyNumberFormat="1" applyFont="1"/>
    <xf numFmtId="2" fontId="11" fillId="0" borderId="0" xfId="0" applyNumberFormat="1" applyFont="1"/>
    <xf numFmtId="181" fontId="1" fillId="2" borderId="0" xfId="5" applyNumberFormat="1" applyProtection="1"/>
    <xf numFmtId="2" fontId="11" fillId="0" borderId="4" xfId="0" applyNumberFormat="1" applyFont="1" applyBorder="1"/>
    <xf numFmtId="2" fontId="1" fillId="2" borderId="4" xfId="5" applyNumberFormat="1" applyBorder="1" applyProtection="1"/>
    <xf numFmtId="2" fontId="11" fillId="3" borderId="4" xfId="0" applyNumberFormat="1" applyFont="1" applyFill="1" applyBorder="1"/>
    <xf numFmtId="2" fontId="4" fillId="0" borderId="4" xfId="0" applyNumberFormat="1" applyFont="1" applyBorder="1"/>
    <xf numFmtId="2" fontId="12" fillId="0" borderId="4" xfId="0" applyNumberFormat="1" applyFont="1" applyBorder="1" applyAlignment="1">
      <alignment horizontal="center" vertical="center"/>
    </xf>
    <xf numFmtId="0" fontId="12" fillId="0" borderId="4" xfId="0" applyFont="1" applyBorder="1" applyAlignment="1">
      <alignment horizontal="center" vertical="center"/>
    </xf>
    <xf numFmtId="0" fontId="14" fillId="0" borderId="4" xfId="0" applyFont="1" applyBorder="1" applyAlignment="1">
      <alignment horizontal="center" vertical="center"/>
    </xf>
    <xf numFmtId="173" fontId="5" fillId="2" borderId="0" xfId="5" applyNumberFormat="1" applyFont="1" applyAlignment="1" applyProtection="1">
      <alignment horizontal="left"/>
      <protection locked="0"/>
    </xf>
    <xf numFmtId="173" fontId="5" fillId="3" borderId="0" xfId="5" applyNumberFormat="1" applyFont="1" applyFill="1" applyAlignment="1" applyProtection="1">
      <alignment horizontal="left"/>
      <protection locked="0"/>
    </xf>
    <xf numFmtId="0" fontId="9" fillId="0" borderId="0" xfId="3" applyFont="1" applyBorder="1" applyAlignment="1">
      <alignment horizontal="center"/>
    </xf>
  </cellXfs>
  <cellStyles count="9">
    <cellStyle name="20% - Accent1" xfId="5" builtinId="30"/>
    <cellStyle name="Comma" xfId="1" builtinId="3"/>
    <cellStyle name="Estilo 1" xfId="6" xr:uid="{A0C87481-65CA-467B-9CB7-6189ED8F1B86}"/>
    <cellStyle name="Heading 1" xfId="3" builtinId="16"/>
    <cellStyle name="Heading 3" xfId="7" builtinId="18"/>
    <cellStyle name="Neutral" xfId="8" builtinId="28"/>
    <cellStyle name="Normal" xfId="0" builtinId="0"/>
    <cellStyle name="Percent" xfId="2" builtinId="5"/>
    <cellStyle name="Total" xfId="4" builtinId="25"/>
  </cellStyles>
  <dxfs count="47">
    <dxf>
      <font>
        <b/>
        <i val="0"/>
        <color theme="1"/>
      </font>
      <fill>
        <patternFill>
          <bgColor rgb="FFBCE292"/>
        </patternFill>
      </fill>
    </dxf>
    <dxf>
      <font>
        <b/>
        <i val="0"/>
      </font>
      <fill>
        <patternFill>
          <bgColor rgb="FFFF8585"/>
        </patternFill>
      </fill>
    </dxf>
    <dxf>
      <font>
        <b/>
        <i/>
        <color rgb="FF9149C7"/>
      </font>
      <fill>
        <patternFill>
          <bgColor rgb="FFF3C0FC"/>
        </patternFill>
      </fill>
    </dxf>
    <dxf>
      <font>
        <b/>
        <i/>
        <color rgb="FF9149C7"/>
      </font>
      <fill>
        <patternFill>
          <bgColor rgb="FFEAA6FC"/>
        </patternFill>
      </fill>
    </dxf>
    <dxf>
      <fill>
        <patternFill>
          <bgColor rgb="FFFF0000"/>
        </patternFill>
      </fill>
    </dxf>
    <dxf>
      <fill>
        <patternFill>
          <bgColor rgb="FFFFFF00"/>
        </patternFill>
      </fill>
    </dxf>
    <dxf>
      <font>
        <b/>
        <i/>
        <color rgb="FF00B050"/>
      </font>
    </dxf>
    <dxf>
      <font>
        <b/>
        <i/>
        <color rgb="FFFD8813"/>
      </font>
    </dxf>
    <dxf>
      <font>
        <b val="0"/>
        <i val="0"/>
        <color rgb="FF00B050"/>
      </font>
    </dxf>
    <dxf>
      <font>
        <color rgb="FFC00000"/>
      </font>
    </dxf>
    <dxf>
      <font>
        <b/>
        <i val="0"/>
        <color rgb="FF00B050"/>
      </font>
    </dxf>
    <dxf>
      <font>
        <color rgb="FFC00000"/>
      </font>
    </dxf>
    <dxf>
      <font>
        <b/>
        <i val="0"/>
        <color rgb="FFFF0000"/>
      </font>
    </dxf>
    <dxf>
      <font>
        <b/>
        <i val="0"/>
        <color rgb="FF00B050"/>
      </font>
    </dxf>
    <dxf>
      <font>
        <b/>
        <i val="0"/>
        <color rgb="FFC00000"/>
      </font>
    </dxf>
    <dxf>
      <font>
        <b/>
        <i val="0"/>
        <color rgb="FF00B050"/>
      </font>
    </dxf>
    <dxf>
      <font>
        <b/>
        <i val="0"/>
        <color rgb="FFC00000"/>
      </font>
    </dxf>
    <dxf>
      <font>
        <b/>
        <i/>
        <color rgb="FFC00000"/>
      </font>
      <fill>
        <patternFill patternType="solid">
          <bgColor rgb="FFFFFF00"/>
        </patternFill>
      </fill>
      <border>
        <vertical/>
        <horizontal/>
      </border>
    </dxf>
    <dxf>
      <font>
        <b val="0"/>
        <i val="0"/>
        <color rgb="FF00B050"/>
      </font>
    </dxf>
    <dxf>
      <font>
        <color rgb="FFC00000"/>
      </font>
    </dxf>
    <dxf>
      <font>
        <b/>
        <i val="0"/>
        <color rgb="FF4FFF9F"/>
      </font>
    </dxf>
    <dxf>
      <font>
        <b/>
        <i val="0"/>
        <color rgb="FF00B050"/>
      </font>
    </dxf>
    <dxf>
      <font>
        <b/>
        <i val="0"/>
        <color rgb="FFC00000"/>
      </font>
    </dxf>
    <dxf>
      <font>
        <b/>
        <i val="0"/>
        <color rgb="FFFFC000"/>
      </font>
    </dxf>
    <dxf>
      <font>
        <b val="0"/>
        <i val="0"/>
        <color rgb="FF00B050"/>
      </font>
    </dxf>
    <dxf>
      <font>
        <color rgb="FFC00000"/>
      </font>
    </dxf>
    <dxf>
      <font>
        <b/>
        <i/>
        <color rgb="FFC00000"/>
      </font>
      <fill>
        <patternFill patternType="solid">
          <bgColor rgb="FFFFFF00"/>
        </patternFill>
      </fill>
      <border>
        <vertical/>
        <horizontal/>
      </border>
    </dxf>
    <dxf>
      <font>
        <b val="0"/>
        <i val="0"/>
        <color rgb="FF00B050"/>
      </font>
    </dxf>
    <dxf>
      <font>
        <color rgb="FFC00000"/>
      </font>
    </dxf>
    <dxf>
      <font>
        <color rgb="FFFFFF00"/>
      </font>
    </dxf>
    <dxf>
      <font>
        <color rgb="FFFFFF00"/>
      </font>
    </dxf>
    <dxf>
      <font>
        <b/>
        <i val="0"/>
        <strike val="0"/>
        <color rgb="FFC430D4"/>
      </font>
      <fill>
        <patternFill>
          <bgColor rgb="FFCBA9E5"/>
        </patternFill>
      </fill>
    </dxf>
    <dxf>
      <font>
        <b/>
        <i/>
        <color rgb="FFC00000"/>
      </font>
      <fill>
        <patternFill patternType="solid">
          <bgColor rgb="FFFFFF00"/>
        </patternFill>
      </fill>
      <border>
        <vertical/>
        <horizontal/>
      </border>
    </dxf>
    <dxf>
      <font>
        <b/>
        <i/>
        <color rgb="FF00B050"/>
      </font>
    </dxf>
    <dxf>
      <font>
        <b/>
        <i/>
        <color rgb="FFFD8813"/>
      </font>
    </dxf>
    <dxf>
      <font>
        <b val="0"/>
        <i val="0"/>
        <color rgb="FF00B050"/>
      </font>
    </dxf>
    <dxf>
      <font>
        <color rgb="FFC00000"/>
      </font>
    </dxf>
    <dxf>
      <numFmt numFmtId="0" formatCode="Genera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0" formatCode="General"/>
      <alignment horizontal="general"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auto="1"/>
        <name val="Calibri"/>
        <family val="2"/>
        <scheme val="minor"/>
      </font>
      <numFmt numFmtId="0" formatCode="Genera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0" formatCode="General"/>
      <alignment horizontal="general"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s>
  <tableStyles count="0" defaultTableStyle="TableStyleMedium2" defaultPivotStyle="PivotStyleLight16"/>
  <colors>
    <mruColors>
      <color rgb="FFBCE292"/>
      <color rgb="FFF3C0FC"/>
      <color rgb="FF9149C7"/>
      <color rgb="FFB889DB"/>
      <color rgb="FFCBA9E5"/>
      <color rgb="FFEAA6FC"/>
      <color rgb="FFFF8585"/>
      <color rgb="FF4FFF9F"/>
      <color rgb="FFC430D4"/>
      <color rgb="FFFD881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1095375</xdr:colOff>
          <xdr:row>43</xdr:row>
          <xdr:rowOff>114300</xdr:rowOff>
        </xdr:from>
        <xdr:to>
          <xdr:col>8</xdr:col>
          <xdr:colOff>1295400</xdr:colOff>
          <xdr:row>45</xdr:row>
          <xdr:rowOff>200025</xdr:rowOff>
        </xdr:to>
        <xdr:sp macro="" textlink="">
          <xdr:nvSpPr>
            <xdr:cNvPr id="1087" name="AA_Button 63" hidden="1">
              <a:extLst>
                <a:ext uri="{63B3BB69-23CF-44E3-9099-C40C66FF867C}">
                  <a14:compatExt spid="_x0000_s1087"/>
                </a:ext>
                <a:ext uri="{FF2B5EF4-FFF2-40B4-BE49-F238E27FC236}">
                  <a16:creationId xmlns:a16="http://schemas.microsoft.com/office/drawing/2014/main" id="{00000000-0008-0000-0200-00003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ea typeface="Calibri"/>
                  <a:cs typeface="Calibri"/>
                </a:rPr>
                <a:t>Cálculo de Nº barras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104775</xdr:colOff>
          <xdr:row>0</xdr:row>
          <xdr:rowOff>114300</xdr:rowOff>
        </xdr:from>
        <xdr:to>
          <xdr:col>4</xdr:col>
          <xdr:colOff>609600</xdr:colOff>
          <xdr:row>0</xdr:row>
          <xdr:rowOff>762000</xdr:rowOff>
        </xdr:to>
        <xdr:sp macro="" textlink="">
          <xdr:nvSpPr>
            <xdr:cNvPr id="1101" name="AA_Button 77" hidden="1">
              <a:extLst>
                <a:ext uri="{63B3BB69-23CF-44E3-9099-C40C66FF867C}">
                  <a14:compatExt spid="_x0000_s1101"/>
                </a:ext>
                <a:ext uri="{FF2B5EF4-FFF2-40B4-BE49-F238E27FC236}">
                  <a16:creationId xmlns:a16="http://schemas.microsoft.com/office/drawing/2014/main" id="{00000000-0008-0000-0200-00004D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FF"/>
                  </a:solidFill>
                  <a:latin typeface="Calibri"/>
                  <a:ea typeface="Calibri"/>
                  <a:cs typeface="Calibri"/>
                </a:rPr>
                <a:t>Redimensionar sección</a:t>
              </a:r>
            </a:p>
            <a:p>
              <a:pPr algn="ctr" rtl="0">
                <a:defRPr sz="1000"/>
              </a:pPr>
              <a:r>
                <a:rPr lang="es-ES" sz="1400" b="1" i="0" u="none" strike="noStrike" baseline="0">
                  <a:solidFill>
                    <a:srgbClr val="FF00FF"/>
                  </a:solidFill>
                  <a:latin typeface="Calibri"/>
                  <a:ea typeface="Calibri"/>
                  <a:cs typeface="Calibri"/>
                </a:rPr>
                <a:t>evitando A's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447675</xdr:colOff>
          <xdr:row>14</xdr:row>
          <xdr:rowOff>9525</xdr:rowOff>
        </xdr:from>
        <xdr:to>
          <xdr:col>7</xdr:col>
          <xdr:colOff>762000</xdr:colOff>
          <xdr:row>15</xdr:row>
          <xdr:rowOff>47625</xdr:rowOff>
        </xdr:to>
        <xdr:sp macro="" textlink="">
          <xdr:nvSpPr>
            <xdr:cNvPr id="1108" name="AA_CheckBox1" hidden="1">
              <a:extLst>
                <a:ext uri="{63B3BB69-23CF-44E3-9099-C40C66FF867C}">
                  <a14:compatExt spid="_x0000_s1108"/>
                </a:ext>
                <a:ext uri="{FF2B5EF4-FFF2-40B4-BE49-F238E27FC236}">
                  <a16:creationId xmlns:a16="http://schemas.microsoft.com/office/drawing/2014/main" id="{00000000-0008-0000-0200-00005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1085850</xdr:colOff>
          <xdr:row>46</xdr:row>
          <xdr:rowOff>123825</xdr:rowOff>
        </xdr:from>
        <xdr:to>
          <xdr:col>8</xdr:col>
          <xdr:colOff>1295400</xdr:colOff>
          <xdr:row>49</xdr:row>
          <xdr:rowOff>19050</xdr:rowOff>
        </xdr:to>
        <xdr:sp macro="" textlink="">
          <xdr:nvSpPr>
            <xdr:cNvPr id="1109" name="AA_Button 85" hidden="1">
              <a:extLst>
                <a:ext uri="{63B3BB69-23CF-44E3-9099-C40C66FF867C}">
                  <a14:compatExt spid="_x0000_s1109"/>
                </a:ext>
                <a:ext uri="{FF2B5EF4-FFF2-40B4-BE49-F238E27FC236}">
                  <a16:creationId xmlns:a16="http://schemas.microsoft.com/office/drawing/2014/main" id="{00000000-0008-0000-0200-00005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ea typeface="Calibri"/>
                  <a:cs typeface="Calibri"/>
                </a:rPr>
                <a:t>Cálculo de Nº diamteros conocidas las barras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847725</xdr:colOff>
          <xdr:row>0</xdr:row>
          <xdr:rowOff>714375</xdr:rowOff>
        </xdr:from>
        <xdr:to>
          <xdr:col>10</xdr:col>
          <xdr:colOff>495300</xdr:colOff>
          <xdr:row>1</xdr:row>
          <xdr:rowOff>133350</xdr:rowOff>
        </xdr:to>
        <xdr:sp macro="" textlink="">
          <xdr:nvSpPr>
            <xdr:cNvPr id="1121" name="AA_Button 97" hidden="1">
              <a:extLst>
                <a:ext uri="{63B3BB69-23CF-44E3-9099-C40C66FF867C}">
                  <a14:compatExt spid="_x0000_s1121"/>
                </a:ext>
                <a:ext uri="{FF2B5EF4-FFF2-40B4-BE49-F238E27FC236}">
                  <a16:creationId xmlns:a16="http://schemas.microsoft.com/office/drawing/2014/main" id="{00000000-0008-0000-0200-00006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00"/>
                  </a:solidFill>
                  <a:latin typeface="Calibri"/>
                  <a:ea typeface="Calibri"/>
                  <a:cs typeface="Calibri"/>
                </a:rPr>
                <a:t>Generar croquis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123825</xdr:colOff>
          <xdr:row>0</xdr:row>
          <xdr:rowOff>85725</xdr:rowOff>
        </xdr:from>
        <xdr:to>
          <xdr:col>8</xdr:col>
          <xdr:colOff>323850</xdr:colOff>
          <xdr:row>0</xdr:row>
          <xdr:rowOff>723900</xdr:rowOff>
        </xdr:to>
        <xdr:sp macro="" textlink="">
          <xdr:nvSpPr>
            <xdr:cNvPr id="1096" name="AA_Button 72" hidden="1">
              <a:extLst>
                <a:ext uri="{63B3BB69-23CF-44E3-9099-C40C66FF867C}">
                  <a14:compatExt spid="_x0000_s1096"/>
                </a:ext>
                <a:ext uri="{FF2B5EF4-FFF2-40B4-BE49-F238E27FC236}">
                  <a16:creationId xmlns:a16="http://schemas.microsoft.com/office/drawing/2014/main" id="{00000000-0008-0000-0200-00004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0" i="0" u="none" strike="noStrike" baseline="0">
                  <a:solidFill>
                    <a:srgbClr val="339966"/>
                  </a:solidFill>
                  <a:latin typeface="Calibri"/>
                  <a:ea typeface="Calibri"/>
                  <a:cs typeface="Calibri"/>
                </a:rPr>
                <a:t>Geometría de la sección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857250</xdr:colOff>
          <xdr:row>1</xdr:row>
          <xdr:rowOff>180975</xdr:rowOff>
        </xdr:from>
        <xdr:to>
          <xdr:col>10</xdr:col>
          <xdr:colOff>504825</xdr:colOff>
          <xdr:row>3</xdr:row>
          <xdr:rowOff>47625</xdr:rowOff>
        </xdr:to>
        <xdr:sp macro="" textlink="">
          <xdr:nvSpPr>
            <xdr:cNvPr id="1122" name="AA_Limpiar" hidden="1">
              <a:extLst>
                <a:ext uri="{63B3BB69-23CF-44E3-9099-C40C66FF867C}">
                  <a14:compatExt spid="_x0000_s1122"/>
                </a:ext>
                <a:ext uri="{FF2B5EF4-FFF2-40B4-BE49-F238E27FC236}">
                  <a16:creationId xmlns:a16="http://schemas.microsoft.com/office/drawing/2014/main" id="{00000000-0008-0000-0200-00006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00"/>
                  </a:solidFill>
                  <a:latin typeface="Calibri"/>
                  <a:ea typeface="Calibri"/>
                  <a:cs typeface="Calibri"/>
                </a:rPr>
                <a:t>Limpiar</a:t>
              </a:r>
            </a:p>
          </xdr:txBody>
        </xdr:sp>
        <xdr:clientData/>
      </xdr:twoCellAnchor>
    </mc:Choice>
    <mc:Fallback/>
  </mc:AlternateContent>
  <xdr:twoCellAnchor>
    <xdr:from>
      <xdr:col>12</xdr:col>
      <xdr:colOff>666750</xdr:colOff>
      <xdr:row>0</xdr:row>
      <xdr:rowOff>635000</xdr:rowOff>
    </xdr:from>
    <xdr:to>
      <xdr:col>19</xdr:col>
      <xdr:colOff>412750</xdr:colOff>
      <xdr:row>31</xdr:row>
      <xdr:rowOff>206375</xdr:rowOff>
    </xdr:to>
    <xdr:sp macro="" textlink="">
      <xdr:nvSpPr>
        <xdr:cNvPr id="30" name="Rectangle 29">
          <a:extLst>
            <a:ext uri="{FF2B5EF4-FFF2-40B4-BE49-F238E27FC236}">
              <a16:creationId xmlns:a16="http://schemas.microsoft.com/office/drawing/2014/main" id="{3601891C-1AD2-69D8-B6A8-64111DFC70E6}"/>
            </a:ext>
          </a:extLst>
        </xdr:cNvPr>
        <xdr:cNvSpPr/>
      </xdr:nvSpPr>
      <xdr:spPr>
        <a:xfrm>
          <a:off x="11430000" y="635000"/>
          <a:ext cx="5080000" cy="7620000"/>
        </a:xfrm>
        <a:prstGeom prst="rect">
          <a:avLst/>
        </a:prstGeom>
        <a:noFill/>
        <a:ln w="1270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381000</xdr:colOff>
      <xdr:row>28</xdr:row>
      <xdr:rowOff>98425</xdr:rowOff>
    </xdr:from>
    <xdr:to>
      <xdr:col>13</xdr:col>
      <xdr:colOff>698500</xdr:colOff>
      <xdr:row>29</xdr:row>
      <xdr:rowOff>215900</xdr:rowOff>
    </xdr:to>
    <xdr:sp macro="" textlink="">
      <xdr:nvSpPr>
        <xdr:cNvPr id="31" name="Oval 30">
          <a:extLst>
            <a:ext uri="{FF2B5EF4-FFF2-40B4-BE49-F238E27FC236}">
              <a16:creationId xmlns:a16="http://schemas.microsoft.com/office/drawing/2014/main" id="{B886FB08-BB29-E522-F546-2E978447C725}"/>
            </a:ext>
          </a:extLst>
        </xdr:cNvPr>
        <xdr:cNvSpPr/>
      </xdr:nvSpPr>
      <xdr:spPr>
        <a:xfrm>
          <a:off x="11906250" y="7461250"/>
          <a:ext cx="317500" cy="317500"/>
        </a:xfrm>
        <a:prstGeom prst="ellipse">
          <a:avLst/>
        </a:prstGeom>
        <a:noFill/>
        <a:ln w="1270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14</xdr:col>
      <xdr:colOff>381000</xdr:colOff>
      <xdr:row>28</xdr:row>
      <xdr:rowOff>98425</xdr:rowOff>
    </xdr:from>
    <xdr:to>
      <xdr:col>14</xdr:col>
      <xdr:colOff>698500</xdr:colOff>
      <xdr:row>29</xdr:row>
      <xdr:rowOff>215900</xdr:rowOff>
    </xdr:to>
    <xdr:sp macro="" textlink="">
      <xdr:nvSpPr>
        <xdr:cNvPr id="32" name="Oval 31">
          <a:extLst>
            <a:ext uri="{FF2B5EF4-FFF2-40B4-BE49-F238E27FC236}">
              <a16:creationId xmlns:a16="http://schemas.microsoft.com/office/drawing/2014/main" id="{B84F8D57-E6E7-457F-C60E-F04C71A1600A}"/>
            </a:ext>
          </a:extLst>
        </xdr:cNvPr>
        <xdr:cNvSpPr/>
      </xdr:nvSpPr>
      <xdr:spPr>
        <a:xfrm>
          <a:off x="12668250" y="7461250"/>
          <a:ext cx="317500" cy="317500"/>
        </a:xfrm>
        <a:prstGeom prst="ellipse">
          <a:avLst/>
        </a:prstGeom>
        <a:noFill/>
        <a:ln w="1270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381000</xdr:colOff>
      <xdr:row>28</xdr:row>
      <xdr:rowOff>98425</xdr:rowOff>
    </xdr:from>
    <xdr:to>
      <xdr:col>15</xdr:col>
      <xdr:colOff>698500</xdr:colOff>
      <xdr:row>29</xdr:row>
      <xdr:rowOff>215900</xdr:rowOff>
    </xdr:to>
    <xdr:sp macro="" textlink="">
      <xdr:nvSpPr>
        <xdr:cNvPr id="33" name="Oval 32">
          <a:extLst>
            <a:ext uri="{FF2B5EF4-FFF2-40B4-BE49-F238E27FC236}">
              <a16:creationId xmlns:a16="http://schemas.microsoft.com/office/drawing/2014/main" id="{EBFE78C7-8608-C917-1D1B-2084DF59A167}"/>
            </a:ext>
          </a:extLst>
        </xdr:cNvPr>
        <xdr:cNvSpPr/>
      </xdr:nvSpPr>
      <xdr:spPr>
        <a:xfrm>
          <a:off x="13430250" y="7461250"/>
          <a:ext cx="317500" cy="317500"/>
        </a:xfrm>
        <a:prstGeom prst="ellipse">
          <a:avLst/>
        </a:prstGeom>
        <a:noFill/>
        <a:ln w="1270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381000</xdr:colOff>
      <xdr:row>28</xdr:row>
      <xdr:rowOff>98425</xdr:rowOff>
    </xdr:from>
    <xdr:to>
      <xdr:col>16</xdr:col>
      <xdr:colOff>698500</xdr:colOff>
      <xdr:row>29</xdr:row>
      <xdr:rowOff>215900</xdr:rowOff>
    </xdr:to>
    <xdr:sp macro="" textlink="">
      <xdr:nvSpPr>
        <xdr:cNvPr id="34" name="Oval 33">
          <a:extLst>
            <a:ext uri="{FF2B5EF4-FFF2-40B4-BE49-F238E27FC236}">
              <a16:creationId xmlns:a16="http://schemas.microsoft.com/office/drawing/2014/main" id="{DB699670-97D6-D9AB-2C69-931A13349DAE}"/>
            </a:ext>
          </a:extLst>
        </xdr:cNvPr>
        <xdr:cNvSpPr/>
      </xdr:nvSpPr>
      <xdr:spPr>
        <a:xfrm>
          <a:off x="14192250" y="7461250"/>
          <a:ext cx="317500" cy="317500"/>
        </a:xfrm>
        <a:prstGeom prst="ellipse">
          <a:avLst/>
        </a:prstGeom>
        <a:noFill/>
        <a:ln w="1270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381000</xdr:colOff>
      <xdr:row>28</xdr:row>
      <xdr:rowOff>98425</xdr:rowOff>
    </xdr:from>
    <xdr:to>
      <xdr:col>17</xdr:col>
      <xdr:colOff>698500</xdr:colOff>
      <xdr:row>29</xdr:row>
      <xdr:rowOff>215900</xdr:rowOff>
    </xdr:to>
    <xdr:sp macro="" textlink="">
      <xdr:nvSpPr>
        <xdr:cNvPr id="35" name="Oval 34">
          <a:extLst>
            <a:ext uri="{FF2B5EF4-FFF2-40B4-BE49-F238E27FC236}">
              <a16:creationId xmlns:a16="http://schemas.microsoft.com/office/drawing/2014/main" id="{CDEA88C4-DB47-B35E-BC58-6B034BABC564}"/>
            </a:ext>
          </a:extLst>
        </xdr:cNvPr>
        <xdr:cNvSpPr/>
      </xdr:nvSpPr>
      <xdr:spPr>
        <a:xfrm>
          <a:off x="14954250" y="7461250"/>
          <a:ext cx="317500" cy="317500"/>
        </a:xfrm>
        <a:prstGeom prst="ellipse">
          <a:avLst/>
        </a:prstGeom>
        <a:noFill/>
        <a:ln w="1270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18</xdr:col>
      <xdr:colOff>381000</xdr:colOff>
      <xdr:row>28</xdr:row>
      <xdr:rowOff>98425</xdr:rowOff>
    </xdr:from>
    <xdr:to>
      <xdr:col>18</xdr:col>
      <xdr:colOff>698500</xdr:colOff>
      <xdr:row>29</xdr:row>
      <xdr:rowOff>215900</xdr:rowOff>
    </xdr:to>
    <xdr:sp macro="" textlink="">
      <xdr:nvSpPr>
        <xdr:cNvPr id="36" name="Oval 35">
          <a:extLst>
            <a:ext uri="{FF2B5EF4-FFF2-40B4-BE49-F238E27FC236}">
              <a16:creationId xmlns:a16="http://schemas.microsoft.com/office/drawing/2014/main" id="{ACEEBBD5-E9C2-480E-E1C6-83690AE108D4}"/>
            </a:ext>
          </a:extLst>
        </xdr:cNvPr>
        <xdr:cNvSpPr/>
      </xdr:nvSpPr>
      <xdr:spPr>
        <a:xfrm>
          <a:off x="15716250" y="7461250"/>
          <a:ext cx="317500" cy="317500"/>
        </a:xfrm>
        <a:prstGeom prst="ellipse">
          <a:avLst/>
        </a:prstGeom>
        <a:noFill/>
        <a:ln w="1270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381000</xdr:colOff>
      <xdr:row>1</xdr:row>
      <xdr:rowOff>82550</xdr:rowOff>
    </xdr:from>
    <xdr:to>
      <xdr:col>13</xdr:col>
      <xdr:colOff>533400</xdr:colOff>
      <xdr:row>2</xdr:row>
      <xdr:rowOff>34925</xdr:rowOff>
    </xdr:to>
    <xdr:sp macro="" textlink="">
      <xdr:nvSpPr>
        <xdr:cNvPr id="37" name="Oval 36">
          <a:extLst>
            <a:ext uri="{FF2B5EF4-FFF2-40B4-BE49-F238E27FC236}">
              <a16:creationId xmlns:a16="http://schemas.microsoft.com/office/drawing/2014/main" id="{7459C0F9-1AC5-92AA-9B3C-251B85F5D2A5}"/>
            </a:ext>
          </a:extLst>
        </xdr:cNvPr>
        <xdr:cNvSpPr/>
      </xdr:nvSpPr>
      <xdr:spPr>
        <a:xfrm>
          <a:off x="11906250" y="1111250"/>
          <a:ext cx="152400" cy="152400"/>
        </a:xfrm>
        <a:prstGeom prst="ellipse">
          <a:avLst/>
        </a:prstGeom>
        <a:noFill/>
        <a:ln w="1270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14</xdr:col>
      <xdr:colOff>186872</xdr:colOff>
      <xdr:row>1</xdr:row>
      <xdr:rowOff>82550</xdr:rowOff>
    </xdr:from>
    <xdr:to>
      <xdr:col>14</xdr:col>
      <xdr:colOff>339272</xdr:colOff>
      <xdr:row>2</xdr:row>
      <xdr:rowOff>34925</xdr:rowOff>
    </xdr:to>
    <xdr:sp macro="" textlink="">
      <xdr:nvSpPr>
        <xdr:cNvPr id="38" name="Oval 37">
          <a:extLst>
            <a:ext uri="{FF2B5EF4-FFF2-40B4-BE49-F238E27FC236}">
              <a16:creationId xmlns:a16="http://schemas.microsoft.com/office/drawing/2014/main" id="{CE5A827A-65CD-A597-CED2-010BCDAB90AA}"/>
            </a:ext>
          </a:extLst>
        </xdr:cNvPr>
        <xdr:cNvSpPr/>
      </xdr:nvSpPr>
      <xdr:spPr>
        <a:xfrm>
          <a:off x="12474122" y="1111250"/>
          <a:ext cx="152400" cy="152400"/>
        </a:xfrm>
        <a:prstGeom prst="ellipse">
          <a:avLst/>
        </a:prstGeom>
        <a:noFill/>
        <a:ln w="1270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14</xdr:col>
      <xdr:colOff>754743</xdr:colOff>
      <xdr:row>1</xdr:row>
      <xdr:rowOff>82550</xdr:rowOff>
    </xdr:from>
    <xdr:to>
      <xdr:col>15</xdr:col>
      <xdr:colOff>145143</xdr:colOff>
      <xdr:row>2</xdr:row>
      <xdr:rowOff>34925</xdr:rowOff>
    </xdr:to>
    <xdr:sp macro="" textlink="">
      <xdr:nvSpPr>
        <xdr:cNvPr id="39" name="Oval 38">
          <a:extLst>
            <a:ext uri="{FF2B5EF4-FFF2-40B4-BE49-F238E27FC236}">
              <a16:creationId xmlns:a16="http://schemas.microsoft.com/office/drawing/2014/main" id="{0C4D2D62-658C-8D21-9BE7-60B808FF8449}"/>
            </a:ext>
          </a:extLst>
        </xdr:cNvPr>
        <xdr:cNvSpPr/>
      </xdr:nvSpPr>
      <xdr:spPr>
        <a:xfrm>
          <a:off x="13041993" y="1111250"/>
          <a:ext cx="152400" cy="152400"/>
        </a:xfrm>
        <a:prstGeom prst="ellipse">
          <a:avLst/>
        </a:prstGeom>
        <a:noFill/>
        <a:ln w="1270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560614</xdr:colOff>
      <xdr:row>1</xdr:row>
      <xdr:rowOff>82550</xdr:rowOff>
    </xdr:from>
    <xdr:to>
      <xdr:col>15</xdr:col>
      <xdr:colOff>713014</xdr:colOff>
      <xdr:row>2</xdr:row>
      <xdr:rowOff>34925</xdr:rowOff>
    </xdr:to>
    <xdr:sp macro="" textlink="">
      <xdr:nvSpPr>
        <xdr:cNvPr id="40" name="Oval 39">
          <a:extLst>
            <a:ext uri="{FF2B5EF4-FFF2-40B4-BE49-F238E27FC236}">
              <a16:creationId xmlns:a16="http://schemas.microsoft.com/office/drawing/2014/main" id="{10CB5B40-1484-5BDC-234A-235A837E31BC}"/>
            </a:ext>
          </a:extLst>
        </xdr:cNvPr>
        <xdr:cNvSpPr/>
      </xdr:nvSpPr>
      <xdr:spPr>
        <a:xfrm>
          <a:off x="13609864" y="1111250"/>
          <a:ext cx="152400" cy="152400"/>
        </a:xfrm>
        <a:prstGeom prst="ellipse">
          <a:avLst/>
        </a:prstGeom>
        <a:noFill/>
        <a:ln w="1270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366486</xdr:colOff>
      <xdr:row>1</xdr:row>
      <xdr:rowOff>82550</xdr:rowOff>
    </xdr:from>
    <xdr:to>
      <xdr:col>16</xdr:col>
      <xdr:colOff>518886</xdr:colOff>
      <xdr:row>2</xdr:row>
      <xdr:rowOff>34925</xdr:rowOff>
    </xdr:to>
    <xdr:sp macro="" textlink="">
      <xdr:nvSpPr>
        <xdr:cNvPr id="41" name="Oval 40">
          <a:extLst>
            <a:ext uri="{FF2B5EF4-FFF2-40B4-BE49-F238E27FC236}">
              <a16:creationId xmlns:a16="http://schemas.microsoft.com/office/drawing/2014/main" id="{9A0A4502-4CB7-84A6-3DD6-EBCECEAB3906}"/>
            </a:ext>
          </a:extLst>
        </xdr:cNvPr>
        <xdr:cNvSpPr/>
      </xdr:nvSpPr>
      <xdr:spPr>
        <a:xfrm>
          <a:off x="14177736" y="1111250"/>
          <a:ext cx="152400" cy="152400"/>
        </a:xfrm>
        <a:prstGeom prst="ellipse">
          <a:avLst/>
        </a:prstGeom>
        <a:noFill/>
        <a:ln w="1270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172357</xdr:colOff>
      <xdr:row>1</xdr:row>
      <xdr:rowOff>82550</xdr:rowOff>
    </xdr:from>
    <xdr:to>
      <xdr:col>17</xdr:col>
      <xdr:colOff>324757</xdr:colOff>
      <xdr:row>2</xdr:row>
      <xdr:rowOff>34925</xdr:rowOff>
    </xdr:to>
    <xdr:sp macro="" textlink="">
      <xdr:nvSpPr>
        <xdr:cNvPr id="42" name="Oval 41">
          <a:extLst>
            <a:ext uri="{FF2B5EF4-FFF2-40B4-BE49-F238E27FC236}">
              <a16:creationId xmlns:a16="http://schemas.microsoft.com/office/drawing/2014/main" id="{FCFE1335-4FDF-72A0-B2D0-23B8B9917E86}"/>
            </a:ext>
          </a:extLst>
        </xdr:cNvPr>
        <xdr:cNvSpPr/>
      </xdr:nvSpPr>
      <xdr:spPr>
        <a:xfrm>
          <a:off x="14745607" y="1111250"/>
          <a:ext cx="152400" cy="152400"/>
        </a:xfrm>
        <a:prstGeom prst="ellipse">
          <a:avLst/>
        </a:prstGeom>
        <a:noFill/>
        <a:ln w="1270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740229</xdr:colOff>
      <xdr:row>1</xdr:row>
      <xdr:rowOff>82550</xdr:rowOff>
    </xdr:from>
    <xdr:to>
      <xdr:col>18</xdr:col>
      <xdr:colOff>130629</xdr:colOff>
      <xdr:row>2</xdr:row>
      <xdr:rowOff>34925</xdr:rowOff>
    </xdr:to>
    <xdr:sp macro="" textlink="">
      <xdr:nvSpPr>
        <xdr:cNvPr id="43" name="Oval 42">
          <a:extLst>
            <a:ext uri="{FF2B5EF4-FFF2-40B4-BE49-F238E27FC236}">
              <a16:creationId xmlns:a16="http://schemas.microsoft.com/office/drawing/2014/main" id="{1D7B0CDD-6482-5383-9DFB-23458EC86F3D}"/>
            </a:ext>
          </a:extLst>
        </xdr:cNvPr>
        <xdr:cNvSpPr/>
      </xdr:nvSpPr>
      <xdr:spPr>
        <a:xfrm>
          <a:off x="15313479" y="1111250"/>
          <a:ext cx="152400" cy="152400"/>
        </a:xfrm>
        <a:prstGeom prst="ellipse">
          <a:avLst/>
        </a:prstGeom>
        <a:noFill/>
        <a:ln w="1270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18</xdr:col>
      <xdr:colOff>546100</xdr:colOff>
      <xdr:row>1</xdr:row>
      <xdr:rowOff>82550</xdr:rowOff>
    </xdr:from>
    <xdr:to>
      <xdr:col>18</xdr:col>
      <xdr:colOff>698500</xdr:colOff>
      <xdr:row>2</xdr:row>
      <xdr:rowOff>34925</xdr:rowOff>
    </xdr:to>
    <xdr:sp macro="" textlink="">
      <xdr:nvSpPr>
        <xdr:cNvPr id="44" name="Oval 43">
          <a:extLst>
            <a:ext uri="{FF2B5EF4-FFF2-40B4-BE49-F238E27FC236}">
              <a16:creationId xmlns:a16="http://schemas.microsoft.com/office/drawing/2014/main" id="{D40B14AF-3194-EAD3-4C42-EC11FE1A04CD}"/>
            </a:ext>
          </a:extLst>
        </xdr:cNvPr>
        <xdr:cNvSpPr/>
      </xdr:nvSpPr>
      <xdr:spPr>
        <a:xfrm>
          <a:off x="15881350" y="1111250"/>
          <a:ext cx="152400" cy="152400"/>
        </a:xfrm>
        <a:prstGeom prst="ellipse">
          <a:avLst/>
        </a:prstGeom>
        <a:noFill/>
        <a:ln w="1270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381000</xdr:colOff>
      <xdr:row>1</xdr:row>
      <xdr:rowOff>158750</xdr:rowOff>
    </xdr:from>
    <xdr:to>
      <xdr:col>13</xdr:col>
      <xdr:colOff>381000</xdr:colOff>
      <xdr:row>29</xdr:row>
      <xdr:rowOff>57150</xdr:rowOff>
    </xdr:to>
    <xdr:cxnSp macro="">
      <xdr:nvCxnSpPr>
        <xdr:cNvPr id="45" name="Straight Connector 44">
          <a:extLst>
            <a:ext uri="{FF2B5EF4-FFF2-40B4-BE49-F238E27FC236}">
              <a16:creationId xmlns:a16="http://schemas.microsoft.com/office/drawing/2014/main" id="{45C2995C-C21B-14F4-CD76-B65A0C4D2DFB}"/>
            </a:ext>
          </a:extLst>
        </xdr:cNvPr>
        <xdr:cNvCxnSpPr/>
      </xdr:nvCxnSpPr>
      <xdr:spPr>
        <a:xfrm>
          <a:off x="11906250" y="1187450"/>
          <a:ext cx="0" cy="64325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698500</xdr:colOff>
      <xdr:row>1</xdr:row>
      <xdr:rowOff>158750</xdr:rowOff>
    </xdr:from>
    <xdr:to>
      <xdr:col>18</xdr:col>
      <xdr:colOff>698500</xdr:colOff>
      <xdr:row>29</xdr:row>
      <xdr:rowOff>57150</xdr:rowOff>
    </xdr:to>
    <xdr:cxnSp macro="">
      <xdr:nvCxnSpPr>
        <xdr:cNvPr id="46" name="Straight Connector 45">
          <a:extLst>
            <a:ext uri="{FF2B5EF4-FFF2-40B4-BE49-F238E27FC236}">
              <a16:creationId xmlns:a16="http://schemas.microsoft.com/office/drawing/2014/main" id="{4D78B4E7-B4D6-1BAA-FDDD-58A26F5EE067}"/>
            </a:ext>
          </a:extLst>
        </xdr:cNvPr>
        <xdr:cNvCxnSpPr/>
      </xdr:nvCxnSpPr>
      <xdr:spPr>
        <a:xfrm>
          <a:off x="16033750" y="1187450"/>
          <a:ext cx="0" cy="64325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457200</xdr:colOff>
      <xdr:row>1</xdr:row>
      <xdr:rowOff>82550</xdr:rowOff>
    </xdr:from>
    <xdr:to>
      <xdr:col>18</xdr:col>
      <xdr:colOff>622300</xdr:colOff>
      <xdr:row>1</xdr:row>
      <xdr:rowOff>82550</xdr:rowOff>
    </xdr:to>
    <xdr:cxnSp macro="">
      <xdr:nvCxnSpPr>
        <xdr:cNvPr id="47" name="Straight Connector 46">
          <a:extLst>
            <a:ext uri="{FF2B5EF4-FFF2-40B4-BE49-F238E27FC236}">
              <a16:creationId xmlns:a16="http://schemas.microsoft.com/office/drawing/2014/main" id="{6FDE162B-ADC4-D585-5B09-3F3BAFADCB13}"/>
            </a:ext>
          </a:extLst>
        </xdr:cNvPr>
        <xdr:cNvCxnSpPr/>
      </xdr:nvCxnSpPr>
      <xdr:spPr>
        <a:xfrm>
          <a:off x="11982450" y="1111250"/>
          <a:ext cx="3975100" cy="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539750</xdr:colOff>
      <xdr:row>29</xdr:row>
      <xdr:rowOff>215900</xdr:rowOff>
    </xdr:from>
    <xdr:to>
      <xdr:col>18</xdr:col>
      <xdr:colOff>539750</xdr:colOff>
      <xdr:row>29</xdr:row>
      <xdr:rowOff>215900</xdr:rowOff>
    </xdr:to>
    <xdr:cxnSp macro="">
      <xdr:nvCxnSpPr>
        <xdr:cNvPr id="48" name="Straight Connector 47">
          <a:extLst>
            <a:ext uri="{FF2B5EF4-FFF2-40B4-BE49-F238E27FC236}">
              <a16:creationId xmlns:a16="http://schemas.microsoft.com/office/drawing/2014/main" id="{71BC861F-DD8F-877D-084A-C5E1B27C8DEA}"/>
            </a:ext>
          </a:extLst>
        </xdr:cNvPr>
        <xdr:cNvCxnSpPr/>
      </xdr:nvCxnSpPr>
      <xdr:spPr>
        <a:xfrm>
          <a:off x="12065000" y="7778750"/>
          <a:ext cx="3810000" cy="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304800</xdr:colOff>
      <xdr:row>1</xdr:row>
      <xdr:rowOff>6350</xdr:rowOff>
    </xdr:from>
    <xdr:to>
      <xdr:col>19</xdr:col>
      <xdr:colOff>12700</xdr:colOff>
      <xdr:row>30</xdr:row>
      <xdr:rowOff>53975</xdr:rowOff>
    </xdr:to>
    <xdr:sp macro="" textlink="">
      <xdr:nvSpPr>
        <xdr:cNvPr id="49" name="Rectangle: Rounded Corners 48">
          <a:extLst>
            <a:ext uri="{FF2B5EF4-FFF2-40B4-BE49-F238E27FC236}">
              <a16:creationId xmlns:a16="http://schemas.microsoft.com/office/drawing/2014/main" id="{C85100AC-4AA1-C931-14E3-AB05E7C83AFD}"/>
            </a:ext>
          </a:extLst>
        </xdr:cNvPr>
        <xdr:cNvSpPr/>
      </xdr:nvSpPr>
      <xdr:spPr>
        <a:xfrm>
          <a:off x="11830050" y="1035050"/>
          <a:ext cx="4279900" cy="6819900"/>
        </a:xfrm>
        <a:prstGeom prst="roundRect">
          <a:avLst>
            <a:gd name="adj" fmla="val 3561"/>
          </a:avLst>
        </a:prstGeom>
        <a:noFill/>
        <a:ln w="1270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790575</xdr:colOff>
          <xdr:row>22</xdr:row>
          <xdr:rowOff>142875</xdr:rowOff>
        </xdr:from>
        <xdr:to>
          <xdr:col>14</xdr:col>
          <xdr:colOff>0</xdr:colOff>
          <xdr:row>26</xdr:row>
          <xdr:rowOff>9525</xdr:rowOff>
        </xdr:to>
        <xdr:sp macro="" textlink="">
          <xdr:nvSpPr>
            <xdr:cNvPr id="3127" name="Button 55" hidden="1">
              <a:extLst>
                <a:ext uri="{63B3BB69-23CF-44E3-9099-C40C66FF867C}">
                  <a14:compatExt spid="_x0000_s3127"/>
                </a:ext>
                <a:ext uri="{FF2B5EF4-FFF2-40B4-BE49-F238E27FC236}">
                  <a16:creationId xmlns:a16="http://schemas.microsoft.com/office/drawing/2014/main" id="{00000000-0008-0000-0300-000037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Calibri"/>
                  <a:ea typeface="Calibri"/>
                  <a:cs typeface="Calibri"/>
                </a:rPr>
                <a:t>Hallar esfuerzos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48</xdr:row>
          <xdr:rowOff>114300</xdr:rowOff>
        </xdr:from>
        <xdr:to>
          <xdr:col>5</xdr:col>
          <xdr:colOff>590550</xdr:colOff>
          <xdr:row>50</xdr:row>
          <xdr:rowOff>190500</xdr:rowOff>
        </xdr:to>
        <xdr:sp macro="" textlink="">
          <xdr:nvSpPr>
            <xdr:cNvPr id="3128" name="Button 56" hidden="1">
              <a:extLst>
                <a:ext uri="{63B3BB69-23CF-44E3-9099-C40C66FF867C}">
                  <a14:compatExt spid="_x0000_s3128"/>
                </a:ext>
                <a:ext uri="{FF2B5EF4-FFF2-40B4-BE49-F238E27FC236}">
                  <a16:creationId xmlns:a16="http://schemas.microsoft.com/office/drawing/2014/main" id="{00000000-0008-0000-0300-000038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Calibri"/>
                  <a:ea typeface="Calibri"/>
                  <a:cs typeface="Calibri"/>
                </a:rPr>
                <a:t>Cálculo de Nº barras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47625</xdr:rowOff>
        </xdr:from>
        <xdr:to>
          <xdr:col>20</xdr:col>
          <xdr:colOff>447675</xdr:colOff>
          <xdr:row>1</xdr:row>
          <xdr:rowOff>180975</xdr:rowOff>
        </xdr:to>
        <xdr:sp macro="" textlink="">
          <xdr:nvSpPr>
            <xdr:cNvPr id="3139" name="Button 67" hidden="1">
              <a:extLst>
                <a:ext uri="{63B3BB69-23CF-44E3-9099-C40C66FF867C}">
                  <a14:compatExt spid="_x0000_s3139"/>
                </a:ext>
                <a:ext uri="{FF2B5EF4-FFF2-40B4-BE49-F238E27FC236}">
                  <a16:creationId xmlns:a16="http://schemas.microsoft.com/office/drawing/2014/main" id="{00000000-0008-0000-0300-00004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300" b="0" i="0" u="none" strike="noStrike" baseline="0">
                  <a:solidFill>
                    <a:srgbClr val="000000"/>
                  </a:solidFill>
                  <a:latin typeface="Calibri"/>
                  <a:ea typeface="Calibri"/>
                  <a:cs typeface="Calibri"/>
                </a:rPr>
                <a:t>Borrar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9</xdr:col>
      <xdr:colOff>205414</xdr:colOff>
      <xdr:row>7</xdr:row>
      <xdr:rowOff>187779</xdr:rowOff>
    </xdr:from>
    <xdr:to>
      <xdr:col>16</xdr:col>
      <xdr:colOff>615776</xdr:colOff>
      <xdr:row>30</xdr:row>
      <xdr:rowOff>50348</xdr:rowOff>
    </xdr:to>
    <xdr:pic>
      <xdr:nvPicPr>
        <xdr:cNvPr id="2" name="Imagen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10437985" y="1657350"/>
          <a:ext cx="5703541" cy="263842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6</xdr:row>
          <xdr:rowOff>19050</xdr:rowOff>
        </xdr:from>
        <xdr:to>
          <xdr:col>2</xdr:col>
          <xdr:colOff>485775</xdr:colOff>
          <xdr:row>7</xdr:row>
          <xdr:rowOff>38100</xdr:rowOff>
        </xdr:to>
        <xdr:sp macro="" textlink="">
          <xdr:nvSpPr>
            <xdr:cNvPr id="12290" name="Option Button 2" hidden="1">
              <a:extLst>
                <a:ext uri="{63B3BB69-23CF-44E3-9099-C40C66FF867C}">
                  <a14:compatExt spid="_x0000_s12290"/>
                </a:ext>
                <a:ext uri="{FF2B5EF4-FFF2-40B4-BE49-F238E27FC236}">
                  <a16:creationId xmlns:a16="http://schemas.microsoft.com/office/drawing/2014/main" id="{00000000-0008-0000-0500-00000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S" sz="800" b="0" i="0" u="none" strike="noStrike" baseline="0">
                  <a:solidFill>
                    <a:srgbClr val="000000"/>
                  </a:solidFill>
                  <a:latin typeface="Segoe UI"/>
                  <a:cs typeface="Segoe UI"/>
                </a:rPr>
                <a:t>SI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447675</xdr:colOff>
          <xdr:row>6</xdr:row>
          <xdr:rowOff>19050</xdr:rowOff>
        </xdr:from>
        <xdr:to>
          <xdr:col>2</xdr:col>
          <xdr:colOff>847725</xdr:colOff>
          <xdr:row>7</xdr:row>
          <xdr:rowOff>38100</xdr:rowOff>
        </xdr:to>
        <xdr:sp macro="" textlink="">
          <xdr:nvSpPr>
            <xdr:cNvPr id="12291" name="Option Button 3" hidden="1">
              <a:extLst>
                <a:ext uri="{63B3BB69-23CF-44E3-9099-C40C66FF867C}">
                  <a14:compatExt spid="_x0000_s12291"/>
                </a:ext>
                <a:ext uri="{FF2B5EF4-FFF2-40B4-BE49-F238E27FC236}">
                  <a16:creationId xmlns:a16="http://schemas.microsoft.com/office/drawing/2014/main" id="{00000000-0008-0000-0500-000003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S" sz="800" b="0" i="0" u="none" strike="noStrike" baseline="0">
                  <a:solidFill>
                    <a:srgbClr val="000000"/>
                  </a:solidFill>
                  <a:latin typeface="Segoe UI"/>
                  <a:cs typeface="Segoe UI"/>
                </a:rPr>
                <a:t>No</a:t>
              </a:r>
            </a:p>
          </xdr:txBody>
        </xdr:sp>
        <xdr:clientData/>
      </xdr:twoCellAnchor>
    </mc:Choice>
    <mc:Fallback/>
  </mc:AlternateContent>
  <xdr:oneCellAnchor>
    <xdr:from>
      <xdr:col>10</xdr:col>
      <xdr:colOff>247650</xdr:colOff>
      <xdr:row>15</xdr:row>
      <xdr:rowOff>128587</xdr:rowOff>
    </xdr:from>
    <xdr:ext cx="65" cy="172227"/>
    <xdr:sp macro="" textlink="">
      <xdr:nvSpPr>
        <xdr:cNvPr id="4" name="CuadroTexto 3">
          <a:extLst>
            <a:ext uri="{FF2B5EF4-FFF2-40B4-BE49-F238E27FC236}">
              <a16:creationId xmlns:a16="http://schemas.microsoft.com/office/drawing/2014/main" id="{00000000-0008-0000-0500-000004000000}"/>
            </a:ext>
          </a:extLst>
        </xdr:cNvPr>
        <xdr:cNvSpPr txBox="1"/>
      </xdr:nvSpPr>
      <xdr:spPr>
        <a:xfrm>
          <a:off x="8458200" y="322421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ES" sz="1100"/>
        </a:p>
      </xdr:txBody>
    </xdr:sp>
    <xdr:clientData/>
  </xdr:oneCellAnchor>
  <xdr:oneCellAnchor>
    <xdr:from>
      <xdr:col>10</xdr:col>
      <xdr:colOff>247650</xdr:colOff>
      <xdr:row>15</xdr:row>
      <xdr:rowOff>128587</xdr:rowOff>
    </xdr:from>
    <xdr:ext cx="1543050" cy="404813"/>
    <xdr:sp macro="" textlink="">
      <xdr:nvSpPr>
        <xdr:cNvPr id="9" name="CuadroTexto 8">
          <a:extLst>
            <a:ext uri="{FF2B5EF4-FFF2-40B4-BE49-F238E27FC236}">
              <a16:creationId xmlns:a16="http://schemas.microsoft.com/office/drawing/2014/main" id="{00000000-0008-0000-0500-000009000000}"/>
            </a:ext>
          </a:extLst>
        </xdr:cNvPr>
        <xdr:cNvSpPr txBox="1"/>
      </xdr:nvSpPr>
      <xdr:spPr>
        <a:xfrm>
          <a:off x="8458200" y="3224212"/>
          <a:ext cx="1543050" cy="4048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endParaRPr lang="es-ES" sz="1100"/>
        </a:p>
      </xdr:txBody>
    </xdr:sp>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161925</xdr:colOff>
          <xdr:row>24</xdr:row>
          <xdr:rowOff>9525</xdr:rowOff>
        </xdr:from>
        <xdr:to>
          <xdr:col>11</xdr:col>
          <xdr:colOff>523875</xdr:colOff>
          <xdr:row>25</xdr:row>
          <xdr:rowOff>38100</xdr:rowOff>
        </xdr:to>
        <xdr:sp macro="" textlink="">
          <xdr:nvSpPr>
            <xdr:cNvPr id="11269" name="CheckBox1" hidden="1">
              <a:extLst>
                <a:ext uri="{63B3BB69-23CF-44E3-9099-C40C66FF867C}">
                  <a14:compatExt spid="_x0000_s11269"/>
                </a:ext>
                <a:ext uri="{FF2B5EF4-FFF2-40B4-BE49-F238E27FC236}">
                  <a16:creationId xmlns:a16="http://schemas.microsoft.com/office/drawing/2014/main" id="{00000000-0008-0000-0600-00000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219075</xdr:colOff>
          <xdr:row>0</xdr:row>
          <xdr:rowOff>57150</xdr:rowOff>
        </xdr:from>
        <xdr:to>
          <xdr:col>4</xdr:col>
          <xdr:colOff>66675</xdr:colOff>
          <xdr:row>2</xdr:row>
          <xdr:rowOff>133350</xdr:rowOff>
        </xdr:to>
        <xdr:sp macro="" textlink="">
          <xdr:nvSpPr>
            <xdr:cNvPr id="11276" name="CommandButton1" hidden="1">
              <a:extLst>
                <a:ext uri="{63B3BB69-23CF-44E3-9099-C40C66FF867C}">
                  <a14:compatExt spid="_x0000_s11276"/>
                </a:ext>
                <a:ext uri="{FF2B5EF4-FFF2-40B4-BE49-F238E27FC236}">
                  <a16:creationId xmlns:a16="http://schemas.microsoft.com/office/drawing/2014/main" id="{00000000-0008-0000-0600-00000C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171450</xdr:colOff>
          <xdr:row>5</xdr:row>
          <xdr:rowOff>85725</xdr:rowOff>
        </xdr:from>
        <xdr:to>
          <xdr:col>5</xdr:col>
          <xdr:colOff>676275</xdr:colOff>
          <xdr:row>7</xdr:row>
          <xdr:rowOff>114300</xdr:rowOff>
        </xdr:to>
        <xdr:sp macro="" textlink="">
          <xdr:nvSpPr>
            <xdr:cNvPr id="11277" name="Croquis" hidden="1">
              <a:extLst>
                <a:ext uri="{63B3BB69-23CF-44E3-9099-C40C66FF867C}">
                  <a14:compatExt spid="_x0000_s11277"/>
                </a:ext>
                <a:ext uri="{FF2B5EF4-FFF2-40B4-BE49-F238E27FC236}">
                  <a16:creationId xmlns:a16="http://schemas.microsoft.com/office/drawing/2014/main" id="{00000000-0008-0000-0600-00000D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00"/>
                  </a:solidFill>
                  <a:latin typeface="Calibri"/>
                  <a:ea typeface="Calibri"/>
                  <a:cs typeface="Calibri"/>
                </a:rPr>
                <a:t>Generar croquis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752475</xdr:colOff>
          <xdr:row>5</xdr:row>
          <xdr:rowOff>85725</xdr:rowOff>
        </xdr:from>
        <xdr:to>
          <xdr:col>6</xdr:col>
          <xdr:colOff>400050</xdr:colOff>
          <xdr:row>7</xdr:row>
          <xdr:rowOff>104775</xdr:rowOff>
        </xdr:to>
        <xdr:sp macro="" textlink="">
          <xdr:nvSpPr>
            <xdr:cNvPr id="11279" name="AA_Limpiar" hidden="1">
              <a:extLst>
                <a:ext uri="{63B3BB69-23CF-44E3-9099-C40C66FF867C}">
                  <a14:compatExt spid="_x0000_s11279"/>
                </a:ext>
                <a:ext uri="{FF2B5EF4-FFF2-40B4-BE49-F238E27FC236}">
                  <a16:creationId xmlns:a16="http://schemas.microsoft.com/office/drawing/2014/main" id="{00000000-0008-0000-0600-00000F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00"/>
                  </a:solidFill>
                  <a:latin typeface="Calibri"/>
                  <a:ea typeface="Calibri"/>
                  <a:cs typeface="Calibri"/>
                </a:rPr>
                <a:t>Limpiar</a:t>
              </a:r>
            </a:p>
          </xdr:txBody>
        </xdr:sp>
        <xdr:clientData/>
      </xdr:twoCellAnchor>
    </mc:Choice>
    <mc:Fallback/>
  </mc:AlternateContent>
  <xdr:twoCellAnchor>
    <xdr:from>
      <xdr:col>19</xdr:col>
      <xdr:colOff>149225</xdr:colOff>
      <xdr:row>0</xdr:row>
      <xdr:rowOff>127000</xdr:rowOff>
    </xdr:from>
    <xdr:to>
      <xdr:col>28</xdr:col>
      <xdr:colOff>930275</xdr:colOff>
      <xdr:row>17</xdr:row>
      <xdr:rowOff>184150</xdr:rowOff>
    </xdr:to>
    <xdr:sp macro="" textlink="">
      <xdr:nvSpPr>
        <xdr:cNvPr id="11333" name="Rectángulo 11332">
          <a:extLst>
            <a:ext uri="{FF2B5EF4-FFF2-40B4-BE49-F238E27FC236}">
              <a16:creationId xmlns:a16="http://schemas.microsoft.com/office/drawing/2014/main" id="{00000000-0008-0000-0600-0000452C0000}"/>
            </a:ext>
          </a:extLst>
        </xdr:cNvPr>
        <xdr:cNvSpPr/>
      </xdr:nvSpPr>
      <xdr:spPr>
        <a:xfrm>
          <a:off x="16256000" y="127000"/>
          <a:ext cx="7620000" cy="3810000"/>
        </a:xfrm>
        <a:prstGeom prst="rect">
          <a:avLst/>
        </a:prstGeom>
        <a:noFill/>
        <a:ln w="1270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555625</xdr:colOff>
      <xdr:row>15</xdr:row>
      <xdr:rowOff>60325</xdr:rowOff>
    </xdr:from>
    <xdr:to>
      <xdr:col>19</xdr:col>
      <xdr:colOff>758825</xdr:colOff>
      <xdr:row>16</xdr:row>
      <xdr:rowOff>25400</xdr:rowOff>
    </xdr:to>
    <xdr:sp macro="" textlink="">
      <xdr:nvSpPr>
        <xdr:cNvPr id="11334" name="Elipse 11333">
          <a:extLst>
            <a:ext uri="{FF2B5EF4-FFF2-40B4-BE49-F238E27FC236}">
              <a16:creationId xmlns:a16="http://schemas.microsoft.com/office/drawing/2014/main" id="{00000000-0008-0000-0600-0000462C0000}"/>
            </a:ext>
          </a:extLst>
        </xdr:cNvPr>
        <xdr:cNvSpPr/>
      </xdr:nvSpPr>
      <xdr:spPr>
        <a:xfrm>
          <a:off x="16662400" y="3327400"/>
          <a:ext cx="203200" cy="203200"/>
        </a:xfrm>
        <a:prstGeom prst="ellipse">
          <a:avLst/>
        </a:prstGeom>
        <a:noFill/>
        <a:ln w="1270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23</xdr:col>
      <xdr:colOff>695325</xdr:colOff>
      <xdr:row>15</xdr:row>
      <xdr:rowOff>60325</xdr:rowOff>
    </xdr:from>
    <xdr:to>
      <xdr:col>24</xdr:col>
      <xdr:colOff>136525</xdr:colOff>
      <xdr:row>16</xdr:row>
      <xdr:rowOff>25400</xdr:rowOff>
    </xdr:to>
    <xdr:sp macro="" textlink="">
      <xdr:nvSpPr>
        <xdr:cNvPr id="11335" name="Elipse 11334">
          <a:extLst>
            <a:ext uri="{FF2B5EF4-FFF2-40B4-BE49-F238E27FC236}">
              <a16:creationId xmlns:a16="http://schemas.microsoft.com/office/drawing/2014/main" id="{00000000-0008-0000-0600-0000472C0000}"/>
            </a:ext>
          </a:extLst>
        </xdr:cNvPr>
        <xdr:cNvSpPr/>
      </xdr:nvSpPr>
      <xdr:spPr>
        <a:xfrm>
          <a:off x="19964400" y="3327400"/>
          <a:ext cx="203200" cy="203200"/>
        </a:xfrm>
        <a:prstGeom prst="ellipse">
          <a:avLst/>
        </a:prstGeom>
        <a:noFill/>
        <a:ln w="1270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28</xdr:col>
      <xdr:colOff>320675</xdr:colOff>
      <xdr:row>15</xdr:row>
      <xdr:rowOff>60325</xdr:rowOff>
    </xdr:from>
    <xdr:to>
      <xdr:col>28</xdr:col>
      <xdr:colOff>523875</xdr:colOff>
      <xdr:row>16</xdr:row>
      <xdr:rowOff>25400</xdr:rowOff>
    </xdr:to>
    <xdr:sp macro="" textlink="">
      <xdr:nvSpPr>
        <xdr:cNvPr id="11336" name="Elipse 11335">
          <a:extLst>
            <a:ext uri="{FF2B5EF4-FFF2-40B4-BE49-F238E27FC236}">
              <a16:creationId xmlns:a16="http://schemas.microsoft.com/office/drawing/2014/main" id="{00000000-0008-0000-0600-0000482C0000}"/>
            </a:ext>
          </a:extLst>
        </xdr:cNvPr>
        <xdr:cNvSpPr/>
      </xdr:nvSpPr>
      <xdr:spPr>
        <a:xfrm>
          <a:off x="23266400" y="3327400"/>
          <a:ext cx="203200" cy="203200"/>
        </a:xfrm>
        <a:prstGeom prst="ellipse">
          <a:avLst/>
        </a:prstGeom>
        <a:noFill/>
        <a:ln w="1270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555625</xdr:colOff>
      <xdr:row>2</xdr:row>
      <xdr:rowOff>133350</xdr:rowOff>
    </xdr:from>
    <xdr:to>
      <xdr:col>19</xdr:col>
      <xdr:colOff>758825</xdr:colOff>
      <xdr:row>3</xdr:row>
      <xdr:rowOff>136525</xdr:rowOff>
    </xdr:to>
    <xdr:sp macro="" textlink="">
      <xdr:nvSpPr>
        <xdr:cNvPr id="11337" name="Elipse 11336">
          <a:extLst>
            <a:ext uri="{FF2B5EF4-FFF2-40B4-BE49-F238E27FC236}">
              <a16:creationId xmlns:a16="http://schemas.microsoft.com/office/drawing/2014/main" id="{00000000-0008-0000-0600-0000492C0000}"/>
            </a:ext>
          </a:extLst>
        </xdr:cNvPr>
        <xdr:cNvSpPr/>
      </xdr:nvSpPr>
      <xdr:spPr>
        <a:xfrm>
          <a:off x="16662400" y="533400"/>
          <a:ext cx="203200" cy="203200"/>
        </a:xfrm>
        <a:prstGeom prst="ellipse">
          <a:avLst/>
        </a:prstGeom>
        <a:noFill/>
        <a:ln w="1270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17991</xdr:colOff>
      <xdr:row>2</xdr:row>
      <xdr:rowOff>133350</xdr:rowOff>
    </xdr:from>
    <xdr:to>
      <xdr:col>21</xdr:col>
      <xdr:colOff>221191</xdr:colOff>
      <xdr:row>3</xdr:row>
      <xdr:rowOff>136525</xdr:rowOff>
    </xdr:to>
    <xdr:sp macro="" textlink="">
      <xdr:nvSpPr>
        <xdr:cNvPr id="11338" name="Elipse 11337">
          <a:extLst>
            <a:ext uri="{FF2B5EF4-FFF2-40B4-BE49-F238E27FC236}">
              <a16:creationId xmlns:a16="http://schemas.microsoft.com/office/drawing/2014/main" id="{00000000-0008-0000-0600-00004A2C0000}"/>
            </a:ext>
          </a:extLst>
        </xdr:cNvPr>
        <xdr:cNvSpPr/>
      </xdr:nvSpPr>
      <xdr:spPr>
        <a:xfrm>
          <a:off x="17763066" y="533400"/>
          <a:ext cx="203200" cy="203200"/>
        </a:xfrm>
        <a:prstGeom prst="ellipse">
          <a:avLst/>
        </a:prstGeom>
        <a:noFill/>
        <a:ln w="1270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22</xdr:col>
      <xdr:colOff>356659</xdr:colOff>
      <xdr:row>2</xdr:row>
      <xdr:rowOff>133350</xdr:rowOff>
    </xdr:from>
    <xdr:to>
      <xdr:col>22</xdr:col>
      <xdr:colOff>559859</xdr:colOff>
      <xdr:row>3</xdr:row>
      <xdr:rowOff>136525</xdr:rowOff>
    </xdr:to>
    <xdr:sp macro="" textlink="">
      <xdr:nvSpPr>
        <xdr:cNvPr id="11339" name="Elipse 11338">
          <a:extLst>
            <a:ext uri="{FF2B5EF4-FFF2-40B4-BE49-F238E27FC236}">
              <a16:creationId xmlns:a16="http://schemas.microsoft.com/office/drawing/2014/main" id="{00000000-0008-0000-0600-00004B2C0000}"/>
            </a:ext>
          </a:extLst>
        </xdr:cNvPr>
        <xdr:cNvSpPr/>
      </xdr:nvSpPr>
      <xdr:spPr>
        <a:xfrm>
          <a:off x="18863734" y="533400"/>
          <a:ext cx="203200" cy="203200"/>
        </a:xfrm>
        <a:prstGeom prst="ellipse">
          <a:avLst/>
        </a:prstGeom>
        <a:noFill/>
        <a:ln w="1270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23</xdr:col>
      <xdr:colOff>695325</xdr:colOff>
      <xdr:row>2</xdr:row>
      <xdr:rowOff>133350</xdr:rowOff>
    </xdr:from>
    <xdr:to>
      <xdr:col>24</xdr:col>
      <xdr:colOff>136525</xdr:colOff>
      <xdr:row>3</xdr:row>
      <xdr:rowOff>136525</xdr:rowOff>
    </xdr:to>
    <xdr:sp macro="" textlink="">
      <xdr:nvSpPr>
        <xdr:cNvPr id="11340" name="Elipse 11339">
          <a:extLst>
            <a:ext uri="{FF2B5EF4-FFF2-40B4-BE49-F238E27FC236}">
              <a16:creationId xmlns:a16="http://schemas.microsoft.com/office/drawing/2014/main" id="{00000000-0008-0000-0600-00004C2C0000}"/>
            </a:ext>
          </a:extLst>
        </xdr:cNvPr>
        <xdr:cNvSpPr/>
      </xdr:nvSpPr>
      <xdr:spPr>
        <a:xfrm>
          <a:off x="19964400" y="533400"/>
          <a:ext cx="203200" cy="203200"/>
        </a:xfrm>
        <a:prstGeom prst="ellipse">
          <a:avLst/>
        </a:prstGeom>
        <a:noFill/>
        <a:ln w="1270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xdr:col>
      <xdr:colOff>233891</xdr:colOff>
      <xdr:row>2</xdr:row>
      <xdr:rowOff>133350</xdr:rowOff>
    </xdr:from>
    <xdr:to>
      <xdr:col>25</xdr:col>
      <xdr:colOff>437091</xdr:colOff>
      <xdr:row>3</xdr:row>
      <xdr:rowOff>136525</xdr:rowOff>
    </xdr:to>
    <xdr:sp macro="" textlink="">
      <xdr:nvSpPr>
        <xdr:cNvPr id="11341" name="Elipse 11340">
          <a:extLst>
            <a:ext uri="{FF2B5EF4-FFF2-40B4-BE49-F238E27FC236}">
              <a16:creationId xmlns:a16="http://schemas.microsoft.com/office/drawing/2014/main" id="{00000000-0008-0000-0600-00004D2C0000}"/>
            </a:ext>
          </a:extLst>
        </xdr:cNvPr>
        <xdr:cNvSpPr/>
      </xdr:nvSpPr>
      <xdr:spPr>
        <a:xfrm>
          <a:off x="21065066" y="533400"/>
          <a:ext cx="203200" cy="203200"/>
        </a:xfrm>
        <a:prstGeom prst="ellipse">
          <a:avLst/>
        </a:prstGeom>
        <a:noFill/>
        <a:ln w="1270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26</xdr:col>
      <xdr:colOff>629709</xdr:colOff>
      <xdr:row>2</xdr:row>
      <xdr:rowOff>133350</xdr:rowOff>
    </xdr:from>
    <xdr:to>
      <xdr:col>27</xdr:col>
      <xdr:colOff>128059</xdr:colOff>
      <xdr:row>3</xdr:row>
      <xdr:rowOff>136525</xdr:rowOff>
    </xdr:to>
    <xdr:sp macro="" textlink="">
      <xdr:nvSpPr>
        <xdr:cNvPr id="11342" name="Elipse 11341">
          <a:extLst>
            <a:ext uri="{FF2B5EF4-FFF2-40B4-BE49-F238E27FC236}">
              <a16:creationId xmlns:a16="http://schemas.microsoft.com/office/drawing/2014/main" id="{00000000-0008-0000-0600-00004E2C0000}"/>
            </a:ext>
          </a:extLst>
        </xdr:cNvPr>
        <xdr:cNvSpPr/>
      </xdr:nvSpPr>
      <xdr:spPr>
        <a:xfrm>
          <a:off x="22165734" y="533400"/>
          <a:ext cx="203200" cy="203200"/>
        </a:xfrm>
        <a:prstGeom prst="ellipse">
          <a:avLst/>
        </a:prstGeom>
        <a:noFill/>
        <a:ln w="1270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28</xdr:col>
      <xdr:colOff>320675</xdr:colOff>
      <xdr:row>2</xdr:row>
      <xdr:rowOff>133350</xdr:rowOff>
    </xdr:from>
    <xdr:to>
      <xdr:col>28</xdr:col>
      <xdr:colOff>523875</xdr:colOff>
      <xdr:row>3</xdr:row>
      <xdr:rowOff>136525</xdr:rowOff>
    </xdr:to>
    <xdr:sp macro="" textlink="">
      <xdr:nvSpPr>
        <xdr:cNvPr id="11343" name="Elipse 11342">
          <a:extLst>
            <a:ext uri="{FF2B5EF4-FFF2-40B4-BE49-F238E27FC236}">
              <a16:creationId xmlns:a16="http://schemas.microsoft.com/office/drawing/2014/main" id="{00000000-0008-0000-0600-00004F2C0000}"/>
            </a:ext>
          </a:extLst>
        </xdr:cNvPr>
        <xdr:cNvSpPr/>
      </xdr:nvSpPr>
      <xdr:spPr>
        <a:xfrm>
          <a:off x="23266400" y="533400"/>
          <a:ext cx="203200" cy="203200"/>
        </a:xfrm>
        <a:prstGeom prst="ellipse">
          <a:avLst/>
        </a:prstGeom>
        <a:noFill/>
        <a:ln w="1270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555625</xdr:colOff>
      <xdr:row>3</xdr:row>
      <xdr:rowOff>34925</xdr:rowOff>
    </xdr:from>
    <xdr:to>
      <xdr:col>19</xdr:col>
      <xdr:colOff>555625</xdr:colOff>
      <xdr:row>15</xdr:row>
      <xdr:rowOff>161925</xdr:rowOff>
    </xdr:to>
    <xdr:cxnSp macro="">
      <xdr:nvCxnSpPr>
        <xdr:cNvPr id="11344" name="Conector recto 11343">
          <a:extLst>
            <a:ext uri="{FF2B5EF4-FFF2-40B4-BE49-F238E27FC236}">
              <a16:creationId xmlns:a16="http://schemas.microsoft.com/office/drawing/2014/main" id="{00000000-0008-0000-0600-0000502C0000}"/>
            </a:ext>
          </a:extLst>
        </xdr:cNvPr>
        <xdr:cNvCxnSpPr/>
      </xdr:nvCxnSpPr>
      <xdr:spPr>
        <a:xfrm>
          <a:off x="16662400" y="635000"/>
          <a:ext cx="0" cy="279400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523875</xdr:colOff>
      <xdr:row>3</xdr:row>
      <xdr:rowOff>34925</xdr:rowOff>
    </xdr:from>
    <xdr:to>
      <xdr:col>28</xdr:col>
      <xdr:colOff>523875</xdr:colOff>
      <xdr:row>15</xdr:row>
      <xdr:rowOff>161925</xdr:rowOff>
    </xdr:to>
    <xdr:cxnSp macro="">
      <xdr:nvCxnSpPr>
        <xdr:cNvPr id="11345" name="Conector recto 11344">
          <a:extLst>
            <a:ext uri="{FF2B5EF4-FFF2-40B4-BE49-F238E27FC236}">
              <a16:creationId xmlns:a16="http://schemas.microsoft.com/office/drawing/2014/main" id="{00000000-0008-0000-0600-0000512C0000}"/>
            </a:ext>
          </a:extLst>
        </xdr:cNvPr>
        <xdr:cNvCxnSpPr/>
      </xdr:nvCxnSpPr>
      <xdr:spPr>
        <a:xfrm>
          <a:off x="23469600" y="635000"/>
          <a:ext cx="0" cy="279400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657225</xdr:colOff>
      <xdr:row>2</xdr:row>
      <xdr:rowOff>133350</xdr:rowOff>
    </xdr:from>
    <xdr:to>
      <xdr:col>28</xdr:col>
      <xdr:colOff>422275</xdr:colOff>
      <xdr:row>2</xdr:row>
      <xdr:rowOff>133350</xdr:rowOff>
    </xdr:to>
    <xdr:cxnSp macro="">
      <xdr:nvCxnSpPr>
        <xdr:cNvPr id="11346" name="Conector recto 11345">
          <a:extLst>
            <a:ext uri="{FF2B5EF4-FFF2-40B4-BE49-F238E27FC236}">
              <a16:creationId xmlns:a16="http://schemas.microsoft.com/office/drawing/2014/main" id="{00000000-0008-0000-0600-0000522C0000}"/>
            </a:ext>
          </a:extLst>
        </xdr:cNvPr>
        <xdr:cNvCxnSpPr/>
      </xdr:nvCxnSpPr>
      <xdr:spPr>
        <a:xfrm>
          <a:off x="16764000" y="533400"/>
          <a:ext cx="6604000" cy="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657225</xdr:colOff>
      <xdr:row>16</xdr:row>
      <xdr:rowOff>25400</xdr:rowOff>
    </xdr:from>
    <xdr:to>
      <xdr:col>28</xdr:col>
      <xdr:colOff>422275</xdr:colOff>
      <xdr:row>16</xdr:row>
      <xdr:rowOff>25400</xdr:rowOff>
    </xdr:to>
    <xdr:cxnSp macro="">
      <xdr:nvCxnSpPr>
        <xdr:cNvPr id="11347" name="Conector recto 11346">
          <a:extLst>
            <a:ext uri="{FF2B5EF4-FFF2-40B4-BE49-F238E27FC236}">
              <a16:creationId xmlns:a16="http://schemas.microsoft.com/office/drawing/2014/main" id="{00000000-0008-0000-0600-0000532C0000}"/>
            </a:ext>
          </a:extLst>
        </xdr:cNvPr>
        <xdr:cNvCxnSpPr/>
      </xdr:nvCxnSpPr>
      <xdr:spPr>
        <a:xfrm>
          <a:off x="16764000" y="3530600"/>
          <a:ext cx="6604000" cy="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403225</xdr:colOff>
      <xdr:row>1</xdr:row>
      <xdr:rowOff>180975</xdr:rowOff>
    </xdr:from>
    <xdr:to>
      <xdr:col>28</xdr:col>
      <xdr:colOff>676275</xdr:colOff>
      <xdr:row>16</xdr:row>
      <xdr:rowOff>177800</xdr:rowOff>
    </xdr:to>
    <xdr:sp macro="" textlink="">
      <xdr:nvSpPr>
        <xdr:cNvPr id="11348" name="Rectángulo: esquinas redondeadas 11347">
          <a:extLst>
            <a:ext uri="{FF2B5EF4-FFF2-40B4-BE49-F238E27FC236}">
              <a16:creationId xmlns:a16="http://schemas.microsoft.com/office/drawing/2014/main" id="{00000000-0008-0000-0600-0000542C0000}"/>
            </a:ext>
          </a:extLst>
        </xdr:cNvPr>
        <xdr:cNvSpPr/>
      </xdr:nvSpPr>
      <xdr:spPr>
        <a:xfrm>
          <a:off x="16510000" y="381000"/>
          <a:ext cx="7112000" cy="3302000"/>
        </a:xfrm>
        <a:prstGeom prst="roundRect">
          <a:avLst>
            <a:gd name="adj" fmla="val 3571"/>
          </a:avLst>
        </a:prstGeom>
        <a:noFill/>
        <a:ln w="1270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123825</xdr:colOff>
          <xdr:row>8</xdr:row>
          <xdr:rowOff>171450</xdr:rowOff>
        </xdr:from>
        <xdr:to>
          <xdr:col>8</xdr:col>
          <xdr:colOff>0</xdr:colOff>
          <xdr:row>11</xdr:row>
          <xdr:rowOff>9525</xdr:rowOff>
        </xdr:to>
        <xdr:sp macro="" textlink="">
          <xdr:nvSpPr>
            <xdr:cNvPr id="15362" name="Croquis" hidden="1">
              <a:extLst>
                <a:ext uri="{63B3BB69-23CF-44E3-9099-C40C66FF867C}">
                  <a14:compatExt spid="_x0000_s15362"/>
                </a:ext>
                <a:ext uri="{FF2B5EF4-FFF2-40B4-BE49-F238E27FC236}">
                  <a16:creationId xmlns:a16="http://schemas.microsoft.com/office/drawing/2014/main" id="{00000000-0008-0000-0700-000002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00"/>
                  </a:solidFill>
                  <a:latin typeface="Calibri"/>
                  <a:ea typeface="Calibri"/>
                  <a:cs typeface="Calibri"/>
                </a:rPr>
                <a:t>Generar croquis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1190625</xdr:colOff>
          <xdr:row>1</xdr:row>
          <xdr:rowOff>104775</xdr:rowOff>
        </xdr:from>
        <xdr:to>
          <xdr:col>2</xdr:col>
          <xdr:colOff>819150</xdr:colOff>
          <xdr:row>3</xdr:row>
          <xdr:rowOff>104775</xdr:rowOff>
        </xdr:to>
        <xdr:sp macro="" textlink="">
          <xdr:nvSpPr>
            <xdr:cNvPr id="15363" name="Geometria" hidden="1">
              <a:extLst>
                <a:ext uri="{63B3BB69-23CF-44E3-9099-C40C66FF867C}">
                  <a14:compatExt spid="_x0000_s15363"/>
                </a:ext>
                <a:ext uri="{FF2B5EF4-FFF2-40B4-BE49-F238E27FC236}">
                  <a16:creationId xmlns:a16="http://schemas.microsoft.com/office/drawing/2014/main" id="{00000000-0008-0000-07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0" i="0" u="none" strike="noStrike" baseline="0">
                  <a:solidFill>
                    <a:srgbClr val="339966"/>
                  </a:solidFill>
                  <a:latin typeface="Calibri"/>
                  <a:ea typeface="Calibri"/>
                  <a:cs typeface="Calibri"/>
                </a:rPr>
                <a:t>Geometría de la sección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123825</xdr:colOff>
          <xdr:row>11</xdr:row>
          <xdr:rowOff>28575</xdr:rowOff>
        </xdr:from>
        <xdr:to>
          <xdr:col>7</xdr:col>
          <xdr:colOff>1257300</xdr:colOff>
          <xdr:row>12</xdr:row>
          <xdr:rowOff>76200</xdr:rowOff>
        </xdr:to>
        <xdr:sp macro="" textlink="">
          <xdr:nvSpPr>
            <xdr:cNvPr id="15384" name="AA_Limpiar" hidden="1">
              <a:extLst>
                <a:ext uri="{63B3BB69-23CF-44E3-9099-C40C66FF867C}">
                  <a14:compatExt spid="_x0000_s15384"/>
                </a:ext>
                <a:ext uri="{FF2B5EF4-FFF2-40B4-BE49-F238E27FC236}">
                  <a16:creationId xmlns:a16="http://schemas.microsoft.com/office/drawing/2014/main" id="{00000000-0008-0000-0700-000018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00"/>
                  </a:solidFill>
                  <a:latin typeface="Calibri"/>
                  <a:ea typeface="Calibri"/>
                  <a:cs typeface="Calibri"/>
                </a:rPr>
                <a:t>Limpiar</a:t>
              </a:r>
            </a:p>
          </xdr:txBody>
        </xdr:sp>
        <xdr:clientData/>
      </xdr:twoCellAnchor>
    </mc:Choice>
    <mc:Fallback/>
  </mc:AlternateContent>
  <xdr:twoCellAnchor>
    <xdr:from>
      <xdr:col>9</xdr:col>
      <xdr:colOff>739775</xdr:colOff>
      <xdr:row>0</xdr:row>
      <xdr:rowOff>127000</xdr:rowOff>
    </xdr:from>
    <xdr:to>
      <xdr:col>19</xdr:col>
      <xdr:colOff>739775</xdr:colOff>
      <xdr:row>17</xdr:row>
      <xdr:rowOff>63500</xdr:rowOff>
    </xdr:to>
    <xdr:sp macro="" textlink="">
      <xdr:nvSpPr>
        <xdr:cNvPr id="23" name="Rectángulo 22">
          <a:extLst>
            <a:ext uri="{FF2B5EF4-FFF2-40B4-BE49-F238E27FC236}">
              <a16:creationId xmlns:a16="http://schemas.microsoft.com/office/drawing/2014/main" id="{00000000-0008-0000-0700-000017000000}"/>
            </a:ext>
          </a:extLst>
        </xdr:cNvPr>
        <xdr:cNvSpPr/>
      </xdr:nvSpPr>
      <xdr:spPr>
        <a:xfrm>
          <a:off x="8255000" y="127000"/>
          <a:ext cx="7620000" cy="3937000"/>
        </a:xfrm>
        <a:prstGeom prst="rect">
          <a:avLst/>
        </a:prstGeom>
        <a:noFill/>
        <a:ln w="1270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517525</xdr:colOff>
      <xdr:row>13</xdr:row>
      <xdr:rowOff>34925</xdr:rowOff>
    </xdr:from>
    <xdr:to>
      <xdr:col>11</xdr:col>
      <xdr:colOff>73025</xdr:colOff>
      <xdr:row>14</xdr:row>
      <xdr:rowOff>152400</xdr:rowOff>
    </xdr:to>
    <xdr:sp macro="" textlink="">
      <xdr:nvSpPr>
        <xdr:cNvPr id="24" name="Elipse 23">
          <a:extLst>
            <a:ext uri="{FF2B5EF4-FFF2-40B4-BE49-F238E27FC236}">
              <a16:creationId xmlns:a16="http://schemas.microsoft.com/office/drawing/2014/main" id="{00000000-0008-0000-0700-000018000000}"/>
            </a:ext>
          </a:extLst>
        </xdr:cNvPr>
        <xdr:cNvSpPr/>
      </xdr:nvSpPr>
      <xdr:spPr>
        <a:xfrm>
          <a:off x="8794750" y="3206750"/>
          <a:ext cx="317500" cy="317500"/>
        </a:xfrm>
        <a:prstGeom prst="ellipse">
          <a:avLst/>
        </a:prstGeom>
        <a:noFill/>
        <a:ln w="1270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549275</xdr:colOff>
      <xdr:row>13</xdr:row>
      <xdr:rowOff>34925</xdr:rowOff>
    </xdr:from>
    <xdr:to>
      <xdr:col>13</xdr:col>
      <xdr:colOff>104775</xdr:colOff>
      <xdr:row>14</xdr:row>
      <xdr:rowOff>152400</xdr:rowOff>
    </xdr:to>
    <xdr:sp macro="" textlink="">
      <xdr:nvSpPr>
        <xdr:cNvPr id="25" name="Elipse 24">
          <a:extLst>
            <a:ext uri="{FF2B5EF4-FFF2-40B4-BE49-F238E27FC236}">
              <a16:creationId xmlns:a16="http://schemas.microsoft.com/office/drawing/2014/main" id="{00000000-0008-0000-0700-000019000000}"/>
            </a:ext>
          </a:extLst>
        </xdr:cNvPr>
        <xdr:cNvSpPr/>
      </xdr:nvSpPr>
      <xdr:spPr>
        <a:xfrm>
          <a:off x="10350500" y="3206750"/>
          <a:ext cx="317500" cy="317500"/>
        </a:xfrm>
        <a:prstGeom prst="ellipse">
          <a:avLst/>
        </a:prstGeom>
        <a:noFill/>
        <a:ln w="1270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14</xdr:col>
      <xdr:colOff>581025</xdr:colOff>
      <xdr:row>13</xdr:row>
      <xdr:rowOff>34925</xdr:rowOff>
    </xdr:from>
    <xdr:to>
      <xdr:col>15</xdr:col>
      <xdr:colOff>136525</xdr:colOff>
      <xdr:row>14</xdr:row>
      <xdr:rowOff>152400</xdr:rowOff>
    </xdr:to>
    <xdr:sp macro="" textlink="">
      <xdr:nvSpPr>
        <xdr:cNvPr id="26" name="Elipse 25">
          <a:extLst>
            <a:ext uri="{FF2B5EF4-FFF2-40B4-BE49-F238E27FC236}">
              <a16:creationId xmlns:a16="http://schemas.microsoft.com/office/drawing/2014/main" id="{00000000-0008-0000-0700-00001A000000}"/>
            </a:ext>
          </a:extLst>
        </xdr:cNvPr>
        <xdr:cNvSpPr/>
      </xdr:nvSpPr>
      <xdr:spPr>
        <a:xfrm>
          <a:off x="11906250" y="3206750"/>
          <a:ext cx="317500" cy="317500"/>
        </a:xfrm>
        <a:prstGeom prst="ellipse">
          <a:avLst/>
        </a:prstGeom>
        <a:noFill/>
        <a:ln w="1270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612775</xdr:colOff>
      <xdr:row>13</xdr:row>
      <xdr:rowOff>34925</xdr:rowOff>
    </xdr:from>
    <xdr:to>
      <xdr:col>17</xdr:col>
      <xdr:colOff>168275</xdr:colOff>
      <xdr:row>14</xdr:row>
      <xdr:rowOff>152400</xdr:rowOff>
    </xdr:to>
    <xdr:sp macro="" textlink="">
      <xdr:nvSpPr>
        <xdr:cNvPr id="27" name="Elipse 26">
          <a:extLst>
            <a:ext uri="{FF2B5EF4-FFF2-40B4-BE49-F238E27FC236}">
              <a16:creationId xmlns:a16="http://schemas.microsoft.com/office/drawing/2014/main" id="{00000000-0008-0000-0700-00001B000000}"/>
            </a:ext>
          </a:extLst>
        </xdr:cNvPr>
        <xdr:cNvSpPr/>
      </xdr:nvSpPr>
      <xdr:spPr>
        <a:xfrm>
          <a:off x="13462000" y="3206750"/>
          <a:ext cx="317500" cy="317500"/>
        </a:xfrm>
        <a:prstGeom prst="ellipse">
          <a:avLst/>
        </a:prstGeom>
        <a:noFill/>
        <a:ln w="1270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18</xdr:col>
      <xdr:colOff>644525</xdr:colOff>
      <xdr:row>13</xdr:row>
      <xdr:rowOff>34925</xdr:rowOff>
    </xdr:from>
    <xdr:to>
      <xdr:col>19</xdr:col>
      <xdr:colOff>200025</xdr:colOff>
      <xdr:row>14</xdr:row>
      <xdr:rowOff>152400</xdr:rowOff>
    </xdr:to>
    <xdr:sp macro="" textlink="">
      <xdr:nvSpPr>
        <xdr:cNvPr id="28" name="Elipse 27">
          <a:extLst>
            <a:ext uri="{FF2B5EF4-FFF2-40B4-BE49-F238E27FC236}">
              <a16:creationId xmlns:a16="http://schemas.microsoft.com/office/drawing/2014/main" id="{00000000-0008-0000-0700-00001C000000}"/>
            </a:ext>
          </a:extLst>
        </xdr:cNvPr>
        <xdr:cNvSpPr/>
      </xdr:nvSpPr>
      <xdr:spPr>
        <a:xfrm>
          <a:off x="15017750" y="3206750"/>
          <a:ext cx="317500" cy="317500"/>
        </a:xfrm>
        <a:prstGeom prst="ellipse">
          <a:avLst/>
        </a:prstGeom>
        <a:noFill/>
        <a:ln w="1270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517525</xdr:colOff>
      <xdr:row>11</xdr:row>
      <xdr:rowOff>193675</xdr:rowOff>
    </xdr:from>
    <xdr:to>
      <xdr:col>11</xdr:col>
      <xdr:colOff>73025</xdr:colOff>
      <xdr:row>13</xdr:row>
      <xdr:rowOff>34925</xdr:rowOff>
    </xdr:to>
    <xdr:sp macro="" textlink="">
      <xdr:nvSpPr>
        <xdr:cNvPr id="29" name="Elipse 28">
          <a:extLst>
            <a:ext uri="{FF2B5EF4-FFF2-40B4-BE49-F238E27FC236}">
              <a16:creationId xmlns:a16="http://schemas.microsoft.com/office/drawing/2014/main" id="{00000000-0008-0000-0700-00001D000000}"/>
            </a:ext>
          </a:extLst>
        </xdr:cNvPr>
        <xdr:cNvSpPr/>
      </xdr:nvSpPr>
      <xdr:spPr>
        <a:xfrm>
          <a:off x="8794750" y="2889250"/>
          <a:ext cx="317500" cy="317500"/>
        </a:xfrm>
        <a:prstGeom prst="ellipse">
          <a:avLst/>
        </a:prstGeom>
        <a:noFill/>
        <a:ln w="1270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549275</xdr:colOff>
      <xdr:row>11</xdr:row>
      <xdr:rowOff>193675</xdr:rowOff>
    </xdr:from>
    <xdr:to>
      <xdr:col>13</xdr:col>
      <xdr:colOff>104775</xdr:colOff>
      <xdr:row>13</xdr:row>
      <xdr:rowOff>34925</xdr:rowOff>
    </xdr:to>
    <xdr:sp macro="" textlink="">
      <xdr:nvSpPr>
        <xdr:cNvPr id="30" name="Elipse 29">
          <a:extLst>
            <a:ext uri="{FF2B5EF4-FFF2-40B4-BE49-F238E27FC236}">
              <a16:creationId xmlns:a16="http://schemas.microsoft.com/office/drawing/2014/main" id="{00000000-0008-0000-0700-00001E000000}"/>
            </a:ext>
          </a:extLst>
        </xdr:cNvPr>
        <xdr:cNvSpPr/>
      </xdr:nvSpPr>
      <xdr:spPr>
        <a:xfrm>
          <a:off x="10350500" y="2889250"/>
          <a:ext cx="317500" cy="317500"/>
        </a:xfrm>
        <a:prstGeom prst="ellipse">
          <a:avLst/>
        </a:prstGeom>
        <a:noFill/>
        <a:ln w="1270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14</xdr:col>
      <xdr:colOff>581025</xdr:colOff>
      <xdr:row>11</xdr:row>
      <xdr:rowOff>193675</xdr:rowOff>
    </xdr:from>
    <xdr:to>
      <xdr:col>15</xdr:col>
      <xdr:colOff>136525</xdr:colOff>
      <xdr:row>13</xdr:row>
      <xdr:rowOff>34925</xdr:rowOff>
    </xdr:to>
    <xdr:sp macro="" textlink="">
      <xdr:nvSpPr>
        <xdr:cNvPr id="31" name="Elipse 30">
          <a:extLst>
            <a:ext uri="{FF2B5EF4-FFF2-40B4-BE49-F238E27FC236}">
              <a16:creationId xmlns:a16="http://schemas.microsoft.com/office/drawing/2014/main" id="{00000000-0008-0000-0700-00001F000000}"/>
            </a:ext>
          </a:extLst>
        </xdr:cNvPr>
        <xdr:cNvSpPr/>
      </xdr:nvSpPr>
      <xdr:spPr>
        <a:xfrm>
          <a:off x="11906250" y="2889250"/>
          <a:ext cx="317500" cy="317500"/>
        </a:xfrm>
        <a:prstGeom prst="ellipse">
          <a:avLst/>
        </a:prstGeom>
        <a:noFill/>
        <a:ln w="1270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612775</xdr:colOff>
      <xdr:row>11</xdr:row>
      <xdr:rowOff>193675</xdr:rowOff>
    </xdr:from>
    <xdr:to>
      <xdr:col>17</xdr:col>
      <xdr:colOff>168275</xdr:colOff>
      <xdr:row>13</xdr:row>
      <xdr:rowOff>34925</xdr:rowOff>
    </xdr:to>
    <xdr:sp macro="" textlink="">
      <xdr:nvSpPr>
        <xdr:cNvPr id="32" name="Elipse 31">
          <a:extLst>
            <a:ext uri="{FF2B5EF4-FFF2-40B4-BE49-F238E27FC236}">
              <a16:creationId xmlns:a16="http://schemas.microsoft.com/office/drawing/2014/main" id="{00000000-0008-0000-0700-000020000000}"/>
            </a:ext>
          </a:extLst>
        </xdr:cNvPr>
        <xdr:cNvSpPr/>
      </xdr:nvSpPr>
      <xdr:spPr>
        <a:xfrm>
          <a:off x="13462000" y="2889250"/>
          <a:ext cx="317500" cy="317500"/>
        </a:xfrm>
        <a:prstGeom prst="ellipse">
          <a:avLst/>
        </a:prstGeom>
        <a:noFill/>
        <a:ln w="1270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18</xdr:col>
      <xdr:colOff>644525</xdr:colOff>
      <xdr:row>11</xdr:row>
      <xdr:rowOff>193675</xdr:rowOff>
    </xdr:from>
    <xdr:to>
      <xdr:col>19</xdr:col>
      <xdr:colOff>200025</xdr:colOff>
      <xdr:row>13</xdr:row>
      <xdr:rowOff>34925</xdr:rowOff>
    </xdr:to>
    <xdr:sp macro="" textlink="">
      <xdr:nvSpPr>
        <xdr:cNvPr id="33" name="Elipse 32">
          <a:extLst>
            <a:ext uri="{FF2B5EF4-FFF2-40B4-BE49-F238E27FC236}">
              <a16:creationId xmlns:a16="http://schemas.microsoft.com/office/drawing/2014/main" id="{00000000-0008-0000-0700-000021000000}"/>
            </a:ext>
          </a:extLst>
        </xdr:cNvPr>
        <xdr:cNvSpPr/>
      </xdr:nvSpPr>
      <xdr:spPr>
        <a:xfrm>
          <a:off x="15017750" y="2889250"/>
          <a:ext cx="317500" cy="317500"/>
        </a:xfrm>
        <a:prstGeom prst="ellipse">
          <a:avLst/>
        </a:prstGeom>
        <a:noFill/>
        <a:ln w="1270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517525</xdr:colOff>
      <xdr:row>1</xdr:row>
      <xdr:rowOff>123825</xdr:rowOff>
    </xdr:from>
    <xdr:to>
      <xdr:col>11</xdr:col>
      <xdr:colOff>73025</xdr:colOff>
      <xdr:row>3</xdr:row>
      <xdr:rowOff>41275</xdr:rowOff>
    </xdr:to>
    <xdr:sp macro="" textlink="">
      <xdr:nvSpPr>
        <xdr:cNvPr id="34" name="Elipse 33">
          <a:extLst>
            <a:ext uri="{FF2B5EF4-FFF2-40B4-BE49-F238E27FC236}">
              <a16:creationId xmlns:a16="http://schemas.microsoft.com/office/drawing/2014/main" id="{00000000-0008-0000-0700-000022000000}"/>
            </a:ext>
          </a:extLst>
        </xdr:cNvPr>
        <xdr:cNvSpPr/>
      </xdr:nvSpPr>
      <xdr:spPr>
        <a:xfrm>
          <a:off x="8794750" y="666750"/>
          <a:ext cx="317500" cy="317500"/>
        </a:xfrm>
        <a:prstGeom prst="ellipse">
          <a:avLst/>
        </a:prstGeom>
        <a:noFill/>
        <a:ln w="1270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549275</xdr:colOff>
      <xdr:row>1</xdr:row>
      <xdr:rowOff>123825</xdr:rowOff>
    </xdr:from>
    <xdr:to>
      <xdr:col>13</xdr:col>
      <xdr:colOff>104775</xdr:colOff>
      <xdr:row>3</xdr:row>
      <xdr:rowOff>41275</xdr:rowOff>
    </xdr:to>
    <xdr:sp macro="" textlink="">
      <xdr:nvSpPr>
        <xdr:cNvPr id="35" name="Elipse 34">
          <a:extLst>
            <a:ext uri="{FF2B5EF4-FFF2-40B4-BE49-F238E27FC236}">
              <a16:creationId xmlns:a16="http://schemas.microsoft.com/office/drawing/2014/main" id="{00000000-0008-0000-0700-000023000000}"/>
            </a:ext>
          </a:extLst>
        </xdr:cNvPr>
        <xdr:cNvSpPr/>
      </xdr:nvSpPr>
      <xdr:spPr>
        <a:xfrm>
          <a:off x="10350500" y="666750"/>
          <a:ext cx="317500" cy="317500"/>
        </a:xfrm>
        <a:prstGeom prst="ellipse">
          <a:avLst/>
        </a:prstGeom>
        <a:noFill/>
        <a:ln w="1270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14</xdr:col>
      <xdr:colOff>581025</xdr:colOff>
      <xdr:row>1</xdr:row>
      <xdr:rowOff>123825</xdr:rowOff>
    </xdr:from>
    <xdr:to>
      <xdr:col>15</xdr:col>
      <xdr:colOff>136525</xdr:colOff>
      <xdr:row>3</xdr:row>
      <xdr:rowOff>41275</xdr:rowOff>
    </xdr:to>
    <xdr:sp macro="" textlink="">
      <xdr:nvSpPr>
        <xdr:cNvPr id="36" name="Elipse 35">
          <a:extLst>
            <a:ext uri="{FF2B5EF4-FFF2-40B4-BE49-F238E27FC236}">
              <a16:creationId xmlns:a16="http://schemas.microsoft.com/office/drawing/2014/main" id="{00000000-0008-0000-0700-000024000000}"/>
            </a:ext>
          </a:extLst>
        </xdr:cNvPr>
        <xdr:cNvSpPr/>
      </xdr:nvSpPr>
      <xdr:spPr>
        <a:xfrm>
          <a:off x="11906250" y="666750"/>
          <a:ext cx="317500" cy="317500"/>
        </a:xfrm>
        <a:prstGeom prst="ellipse">
          <a:avLst/>
        </a:prstGeom>
        <a:noFill/>
        <a:ln w="1270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612775</xdr:colOff>
      <xdr:row>1</xdr:row>
      <xdr:rowOff>123825</xdr:rowOff>
    </xdr:from>
    <xdr:to>
      <xdr:col>17</xdr:col>
      <xdr:colOff>168275</xdr:colOff>
      <xdr:row>3</xdr:row>
      <xdr:rowOff>41275</xdr:rowOff>
    </xdr:to>
    <xdr:sp macro="" textlink="">
      <xdr:nvSpPr>
        <xdr:cNvPr id="37" name="Elipse 36">
          <a:extLst>
            <a:ext uri="{FF2B5EF4-FFF2-40B4-BE49-F238E27FC236}">
              <a16:creationId xmlns:a16="http://schemas.microsoft.com/office/drawing/2014/main" id="{00000000-0008-0000-0700-000025000000}"/>
            </a:ext>
          </a:extLst>
        </xdr:cNvPr>
        <xdr:cNvSpPr/>
      </xdr:nvSpPr>
      <xdr:spPr>
        <a:xfrm>
          <a:off x="13462000" y="666750"/>
          <a:ext cx="317500" cy="317500"/>
        </a:xfrm>
        <a:prstGeom prst="ellipse">
          <a:avLst/>
        </a:prstGeom>
        <a:noFill/>
        <a:ln w="1270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18</xdr:col>
      <xdr:colOff>644525</xdr:colOff>
      <xdr:row>1</xdr:row>
      <xdr:rowOff>123825</xdr:rowOff>
    </xdr:from>
    <xdr:to>
      <xdr:col>19</xdr:col>
      <xdr:colOff>200025</xdr:colOff>
      <xdr:row>3</xdr:row>
      <xdr:rowOff>41275</xdr:rowOff>
    </xdr:to>
    <xdr:sp macro="" textlink="">
      <xdr:nvSpPr>
        <xdr:cNvPr id="38" name="Elipse 37">
          <a:extLst>
            <a:ext uri="{FF2B5EF4-FFF2-40B4-BE49-F238E27FC236}">
              <a16:creationId xmlns:a16="http://schemas.microsoft.com/office/drawing/2014/main" id="{00000000-0008-0000-0700-000026000000}"/>
            </a:ext>
          </a:extLst>
        </xdr:cNvPr>
        <xdr:cNvSpPr/>
      </xdr:nvSpPr>
      <xdr:spPr>
        <a:xfrm>
          <a:off x="15017750" y="666750"/>
          <a:ext cx="317500" cy="317500"/>
        </a:xfrm>
        <a:prstGeom prst="ellipse">
          <a:avLst/>
        </a:prstGeom>
        <a:noFill/>
        <a:ln w="1270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517525</xdr:colOff>
      <xdr:row>2</xdr:row>
      <xdr:rowOff>82550</xdr:rowOff>
    </xdr:from>
    <xdr:to>
      <xdr:col>10</xdr:col>
      <xdr:colOff>517525</xdr:colOff>
      <xdr:row>13</xdr:row>
      <xdr:rowOff>193675</xdr:rowOff>
    </xdr:to>
    <xdr:cxnSp macro="">
      <xdr:nvCxnSpPr>
        <xdr:cNvPr id="39" name="Conector recto 38">
          <a:extLst>
            <a:ext uri="{FF2B5EF4-FFF2-40B4-BE49-F238E27FC236}">
              <a16:creationId xmlns:a16="http://schemas.microsoft.com/office/drawing/2014/main" id="{00000000-0008-0000-0700-000027000000}"/>
            </a:ext>
          </a:extLst>
        </xdr:cNvPr>
        <xdr:cNvCxnSpPr/>
      </xdr:nvCxnSpPr>
      <xdr:spPr>
        <a:xfrm>
          <a:off x="8794750" y="825500"/>
          <a:ext cx="0" cy="254000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200025</xdr:colOff>
      <xdr:row>2</xdr:row>
      <xdr:rowOff>82550</xdr:rowOff>
    </xdr:from>
    <xdr:to>
      <xdr:col>19</xdr:col>
      <xdr:colOff>200025</xdr:colOff>
      <xdr:row>13</xdr:row>
      <xdr:rowOff>193675</xdr:rowOff>
    </xdr:to>
    <xdr:cxnSp macro="">
      <xdr:nvCxnSpPr>
        <xdr:cNvPr id="40" name="Conector recto 39">
          <a:extLst>
            <a:ext uri="{FF2B5EF4-FFF2-40B4-BE49-F238E27FC236}">
              <a16:creationId xmlns:a16="http://schemas.microsoft.com/office/drawing/2014/main" id="{00000000-0008-0000-0700-000028000000}"/>
            </a:ext>
          </a:extLst>
        </xdr:cNvPr>
        <xdr:cNvCxnSpPr/>
      </xdr:nvCxnSpPr>
      <xdr:spPr>
        <a:xfrm>
          <a:off x="15335250" y="825500"/>
          <a:ext cx="0" cy="254000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676275</xdr:colOff>
      <xdr:row>1</xdr:row>
      <xdr:rowOff>123825</xdr:rowOff>
    </xdr:from>
    <xdr:to>
      <xdr:col>19</xdr:col>
      <xdr:colOff>41275</xdr:colOff>
      <xdr:row>1</xdr:row>
      <xdr:rowOff>123825</xdr:rowOff>
    </xdr:to>
    <xdr:cxnSp macro="">
      <xdr:nvCxnSpPr>
        <xdr:cNvPr id="41" name="Conector recto 40">
          <a:extLst>
            <a:ext uri="{FF2B5EF4-FFF2-40B4-BE49-F238E27FC236}">
              <a16:creationId xmlns:a16="http://schemas.microsoft.com/office/drawing/2014/main" id="{00000000-0008-0000-0700-000029000000}"/>
            </a:ext>
          </a:extLst>
        </xdr:cNvPr>
        <xdr:cNvCxnSpPr/>
      </xdr:nvCxnSpPr>
      <xdr:spPr>
        <a:xfrm>
          <a:off x="8953500" y="666750"/>
          <a:ext cx="6223000" cy="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676275</xdr:colOff>
      <xdr:row>14</xdr:row>
      <xdr:rowOff>152400</xdr:rowOff>
    </xdr:from>
    <xdr:to>
      <xdr:col>19</xdr:col>
      <xdr:colOff>41275</xdr:colOff>
      <xdr:row>14</xdr:row>
      <xdr:rowOff>152400</xdr:rowOff>
    </xdr:to>
    <xdr:cxnSp macro="">
      <xdr:nvCxnSpPr>
        <xdr:cNvPr id="42" name="Conector recto 41">
          <a:extLst>
            <a:ext uri="{FF2B5EF4-FFF2-40B4-BE49-F238E27FC236}">
              <a16:creationId xmlns:a16="http://schemas.microsoft.com/office/drawing/2014/main" id="{00000000-0008-0000-0700-00002A000000}"/>
            </a:ext>
          </a:extLst>
        </xdr:cNvPr>
        <xdr:cNvCxnSpPr/>
      </xdr:nvCxnSpPr>
      <xdr:spPr>
        <a:xfrm>
          <a:off x="8953500" y="3524250"/>
          <a:ext cx="6223000" cy="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365125</xdr:colOff>
      <xdr:row>0</xdr:row>
      <xdr:rowOff>514350</xdr:rowOff>
    </xdr:from>
    <xdr:to>
      <xdr:col>19</xdr:col>
      <xdr:colOff>352425</xdr:colOff>
      <xdr:row>15</xdr:row>
      <xdr:rowOff>104775</xdr:rowOff>
    </xdr:to>
    <xdr:sp macro="" textlink="">
      <xdr:nvSpPr>
        <xdr:cNvPr id="43" name="Rectángulo: esquinas redondeadas 42">
          <a:extLst>
            <a:ext uri="{FF2B5EF4-FFF2-40B4-BE49-F238E27FC236}">
              <a16:creationId xmlns:a16="http://schemas.microsoft.com/office/drawing/2014/main" id="{00000000-0008-0000-0700-00002B000000}"/>
            </a:ext>
          </a:extLst>
        </xdr:cNvPr>
        <xdr:cNvSpPr/>
      </xdr:nvSpPr>
      <xdr:spPr>
        <a:xfrm>
          <a:off x="8642350" y="514350"/>
          <a:ext cx="6845300" cy="3162300"/>
        </a:xfrm>
        <a:prstGeom prst="roundRect">
          <a:avLst>
            <a:gd name="adj" fmla="val 4545"/>
          </a:avLst>
        </a:prstGeom>
        <a:noFill/>
        <a:ln w="1270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0D7C67F-41DC-447F-A482-894C51098CED}" name="Hormigon" displayName="Hormigon" ref="A1:B7" totalsRowShown="0" headerRowBorderDxfId="46" tableBorderDxfId="45" totalsRowBorderDxfId="44">
  <autoFilter ref="A1:B7" xr:uid="{B5DE90E0-458D-4A2A-8EFB-23EFAE9F3D6D}"/>
  <tableColumns count="2">
    <tableColumn id="1" xr3:uid="{85AB6547-4B2C-43E6-875E-5F6E8FD8ADCF}" name="Hormigon" dataDxfId="43"/>
    <tableColumn id="2" xr3:uid="{DDDA728F-BA56-4817-9C3A-427DE4B201BD}" name="Columna1" dataDxfId="42"/>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C320BE1-9C16-4BCD-A90E-F8F127791291}" name="Acero" displayName="Acero" ref="D1:E3" totalsRowShown="0" headerRowBorderDxfId="41" tableBorderDxfId="40" totalsRowBorderDxfId="39">
  <autoFilter ref="D1:E3" xr:uid="{C457CB28-1714-4B63-B0A6-B68C60F997AE}"/>
  <tableColumns count="2">
    <tableColumn id="1" xr3:uid="{AC58C472-5577-4DAB-9B81-0CF0C908F1D9}" name="Acero" dataDxfId="38"/>
    <tableColumn id="2" xr3:uid="{AF6D3201-4DA8-464E-9E8F-649CF5E239C7}" name="Columna1" dataDxfId="37"/>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emf"/><Relationship Id="rId10" Type="http://schemas.openxmlformats.org/officeDocument/2006/relationships/ctrlProp" Target="../ctrlProps/ctrlProp5.xml"/><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omments" Target="../comments4.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vmlDrawing" Target="../drawings/vmlDrawing5.vml"/><Relationship Id="rId7" Type="http://schemas.openxmlformats.org/officeDocument/2006/relationships/image" Target="../media/image4.emf"/><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ontrol" Target="../activeX/activeX3.xml"/><Relationship Id="rId5" Type="http://schemas.openxmlformats.org/officeDocument/2006/relationships/image" Target="../media/image3.emf"/><Relationship Id="rId10" Type="http://schemas.openxmlformats.org/officeDocument/2006/relationships/comments" Target="../comments5.xml"/><Relationship Id="rId4" Type="http://schemas.openxmlformats.org/officeDocument/2006/relationships/control" Target="../activeX/activeX2.xml"/><Relationship Id="rId9" Type="http://schemas.openxmlformats.org/officeDocument/2006/relationships/ctrlProp" Target="../ctrlProps/ctrlProp1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omments" Target="../comments6.x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AAD9B-99AA-4234-8623-D8F0EB736B2F}">
  <sheetPr codeName="Hoja1">
    <tabColor rgb="FFFF0000"/>
  </sheetPr>
  <dimension ref="B1:C7"/>
  <sheetViews>
    <sheetView showGridLines="0" zoomScaleNormal="100" workbookViewId="0"/>
  </sheetViews>
  <sheetFormatPr defaultColWidth="11.42578125" defaultRowHeight="15" x14ac:dyDescent="0.25"/>
  <cols>
    <col min="1" max="1" width="5.28515625" customWidth="1"/>
    <col min="3" max="3" width="20.7109375" bestFit="1" customWidth="1"/>
  </cols>
  <sheetData>
    <row r="1" spans="2:3" ht="33.75" x14ac:dyDescent="0.5">
      <c r="B1" s="402" t="s">
        <v>35</v>
      </c>
      <c r="C1" s="402"/>
    </row>
    <row r="3" spans="2:3" x14ac:dyDescent="0.25">
      <c r="B3" s="8"/>
      <c r="C3" t="s">
        <v>33</v>
      </c>
    </row>
    <row r="4" spans="2:3" x14ac:dyDescent="0.25">
      <c r="B4" s="7"/>
      <c r="C4" t="s">
        <v>34</v>
      </c>
    </row>
    <row r="5" spans="2:3" x14ac:dyDescent="0.25">
      <c r="B5" s="152"/>
      <c r="C5" t="s">
        <v>187</v>
      </c>
    </row>
    <row r="6" spans="2:3" ht="6" customHeight="1" x14ac:dyDescent="0.25"/>
    <row r="7" spans="2:3" x14ac:dyDescent="0.25">
      <c r="B7" s="2"/>
      <c r="C7" t="s">
        <v>36</v>
      </c>
    </row>
  </sheetData>
  <mergeCells count="1">
    <mergeCell ref="B1:C1"/>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7CA7-C217-4E34-9855-7D854391C7E1}">
  <sheetPr codeName="Hoja3"/>
  <dimension ref="A1:U33"/>
  <sheetViews>
    <sheetView showGridLines="0" zoomScaleNormal="100" zoomScaleSheetLayoutView="85" workbookViewId="0">
      <selection activeCell="G13" sqref="G13"/>
    </sheetView>
  </sheetViews>
  <sheetFormatPr defaultColWidth="11.42578125" defaultRowHeight="15" x14ac:dyDescent="0.25"/>
  <cols>
    <col min="1" max="1" width="33.7109375" bestFit="1" customWidth="1"/>
    <col min="2" max="2" width="12" customWidth="1"/>
    <col min="3" max="3" width="6.5703125" customWidth="1"/>
    <col min="4" max="4" width="8.28515625" customWidth="1"/>
    <col min="5" max="5" width="12" customWidth="1"/>
    <col min="6" max="6" width="6.5703125" customWidth="1"/>
    <col min="7" max="7" width="11.7109375" customWidth="1"/>
    <col min="8" max="8" width="10" bestFit="1" customWidth="1"/>
    <col min="9" max="9" width="6.7109375" bestFit="1" customWidth="1"/>
    <col min="10" max="10" width="6.7109375" customWidth="1"/>
    <col min="11" max="11" width="10.140625" style="4" customWidth="1"/>
    <col min="12" max="12" width="8" customWidth="1"/>
    <col min="13" max="13" width="6.5703125" customWidth="1"/>
    <col min="14" max="14" width="23.5703125" bestFit="1" customWidth="1"/>
    <col min="15" max="15" width="27.42578125" bestFit="1" customWidth="1"/>
    <col min="16" max="17" width="9.140625" customWidth="1"/>
    <col min="18" max="18" width="3" customWidth="1"/>
    <col min="19" max="19" width="23.5703125" bestFit="1" customWidth="1"/>
    <col min="20" max="20" width="3.28515625" customWidth="1"/>
    <col min="21" max="21" width="35" bestFit="1" customWidth="1"/>
  </cols>
  <sheetData>
    <row r="1" spans="1:21" ht="15.75" thickBot="1" x14ac:dyDescent="0.3">
      <c r="A1" s="32" t="s">
        <v>8</v>
      </c>
      <c r="B1" s="33" t="s">
        <v>52</v>
      </c>
      <c r="D1" s="32" t="s">
        <v>13</v>
      </c>
      <c r="E1" s="35" t="s">
        <v>52</v>
      </c>
      <c r="G1" s="10" t="s">
        <v>190</v>
      </c>
      <c r="H1" s="10"/>
      <c r="I1" s="10"/>
      <c r="K1" s="40" t="s">
        <v>55</v>
      </c>
      <c r="L1" s="27"/>
      <c r="N1" s="20" t="s">
        <v>40</v>
      </c>
      <c r="O1" s="21"/>
      <c r="P1" s="21"/>
      <c r="Q1" s="16"/>
    </row>
    <row r="2" spans="1:21" ht="15.75" thickBot="1" x14ac:dyDescent="0.3">
      <c r="A2" s="28" t="s">
        <v>9</v>
      </c>
      <c r="B2" s="29">
        <v>25</v>
      </c>
      <c r="D2" s="28" t="s">
        <v>14</v>
      </c>
      <c r="E2" s="34">
        <v>400</v>
      </c>
      <c r="G2" s="11"/>
      <c r="H2" s="6" t="s">
        <v>23</v>
      </c>
      <c r="I2" s="6" t="s">
        <v>24</v>
      </c>
      <c r="K2" s="144">
        <v>4</v>
      </c>
      <c r="L2" s="5"/>
      <c r="N2" s="20" t="s">
        <v>41</v>
      </c>
      <c r="O2" s="16"/>
      <c r="P2" s="20" t="s">
        <v>403</v>
      </c>
      <c r="Q2" s="16"/>
    </row>
    <row r="3" spans="1:21" ht="15.75" thickBot="1" x14ac:dyDescent="0.3">
      <c r="A3" s="28" t="s">
        <v>10</v>
      </c>
      <c r="B3" s="29">
        <v>30</v>
      </c>
      <c r="D3" s="30" t="s">
        <v>15</v>
      </c>
      <c r="E3" s="36">
        <v>500</v>
      </c>
      <c r="G3" s="11" t="s">
        <v>19</v>
      </c>
      <c r="H3" s="12">
        <v>1.5</v>
      </c>
      <c r="I3" s="38">
        <v>1.1499999999999999</v>
      </c>
      <c r="K3" s="144">
        <v>6</v>
      </c>
      <c r="L3" s="39"/>
      <c r="N3" s="22"/>
      <c r="O3" s="19"/>
      <c r="P3" s="41">
        <v>400</v>
      </c>
      <c r="Q3" s="41">
        <v>500</v>
      </c>
      <c r="U3" s="17"/>
    </row>
    <row r="4" spans="1:21" x14ac:dyDescent="0.25">
      <c r="A4" s="28" t="s">
        <v>11</v>
      </c>
      <c r="B4" s="29">
        <v>35</v>
      </c>
      <c r="D4" s="9"/>
      <c r="E4" s="9"/>
      <c r="G4" s="11" t="s">
        <v>20</v>
      </c>
      <c r="H4" s="12">
        <v>1.3</v>
      </c>
      <c r="I4" s="38">
        <v>1</v>
      </c>
      <c r="K4" s="144">
        <v>8</v>
      </c>
      <c r="L4" s="39"/>
      <c r="M4" s="1"/>
      <c r="N4" s="23" t="s">
        <v>42</v>
      </c>
      <c r="O4" s="45"/>
      <c r="P4" s="42">
        <v>4</v>
      </c>
      <c r="Q4" s="13">
        <v>4</v>
      </c>
    </row>
    <row r="5" spans="1:21" x14ac:dyDescent="0.25">
      <c r="A5" s="30" t="s">
        <v>12</v>
      </c>
      <c r="B5" s="31">
        <v>40</v>
      </c>
      <c r="D5" s="332" t="s">
        <v>19</v>
      </c>
      <c r="E5" s="9"/>
      <c r="I5" s="5"/>
      <c r="K5" s="144">
        <v>10</v>
      </c>
      <c r="L5" s="5"/>
      <c r="M5" s="1"/>
      <c r="N5" s="24" t="s">
        <v>43</v>
      </c>
      <c r="O5" s="46"/>
      <c r="P5" s="43">
        <v>2</v>
      </c>
      <c r="Q5" s="15">
        <v>1.8</v>
      </c>
      <c r="U5" s="17"/>
    </row>
    <row r="6" spans="1:21" x14ac:dyDescent="0.25">
      <c r="A6" s="30" t="s">
        <v>100</v>
      </c>
      <c r="B6" s="29">
        <v>45</v>
      </c>
      <c r="D6" s="332" t="s">
        <v>392</v>
      </c>
      <c r="E6" s="9"/>
      <c r="G6" s="179" t="s">
        <v>266</v>
      </c>
      <c r="H6" s="179"/>
      <c r="K6" s="144">
        <v>12</v>
      </c>
      <c r="N6" s="25" t="s">
        <v>51</v>
      </c>
      <c r="O6" s="47" t="s">
        <v>45</v>
      </c>
      <c r="P6" s="43">
        <v>4</v>
      </c>
      <c r="Q6" s="15">
        <v>3</v>
      </c>
      <c r="U6" s="17"/>
    </row>
    <row r="7" spans="1:21" x14ac:dyDescent="0.25">
      <c r="A7" s="30" t="s">
        <v>101</v>
      </c>
      <c r="B7" s="29">
        <v>50</v>
      </c>
      <c r="D7" s="27"/>
      <c r="E7" s="27"/>
      <c r="G7" s="40" t="s">
        <v>55</v>
      </c>
      <c r="H7" s="40" t="s">
        <v>267</v>
      </c>
      <c r="K7" s="144">
        <v>16</v>
      </c>
      <c r="N7" s="25" t="s">
        <v>51</v>
      </c>
      <c r="O7" s="47" t="s">
        <v>47</v>
      </c>
      <c r="P7" s="43">
        <v>1.4</v>
      </c>
      <c r="Q7" s="15">
        <v>1.1000000000000001</v>
      </c>
    </row>
    <row r="8" spans="1:21" x14ac:dyDescent="0.25">
      <c r="D8" s="5"/>
      <c r="E8" s="5"/>
      <c r="G8" s="144">
        <v>6</v>
      </c>
      <c r="H8" s="12">
        <v>0.28000000000000003</v>
      </c>
      <c r="I8" s="5"/>
      <c r="K8" s="144">
        <v>20</v>
      </c>
      <c r="L8" s="5"/>
      <c r="M8" s="1"/>
      <c r="N8" s="25" t="s">
        <v>51</v>
      </c>
      <c r="O8" s="47" t="s">
        <v>46</v>
      </c>
      <c r="P8" s="43">
        <v>0.7</v>
      </c>
      <c r="Q8" s="15">
        <v>0.6</v>
      </c>
    </row>
    <row r="9" spans="1:21" x14ac:dyDescent="0.25">
      <c r="D9" s="5"/>
      <c r="E9" s="5"/>
      <c r="G9" s="144">
        <v>8</v>
      </c>
      <c r="H9" s="12">
        <v>0.5</v>
      </c>
      <c r="K9" s="144">
        <v>25</v>
      </c>
      <c r="N9" s="24" t="s">
        <v>50</v>
      </c>
      <c r="O9" s="46"/>
      <c r="P9" s="43">
        <v>3.3</v>
      </c>
      <c r="Q9" s="15">
        <v>2.8</v>
      </c>
    </row>
    <row r="10" spans="1:21" x14ac:dyDescent="0.25">
      <c r="A10" s="179" t="s">
        <v>167</v>
      </c>
      <c r="B10" s="180"/>
      <c r="D10" s="9"/>
      <c r="E10" s="9"/>
      <c r="G10" s="144">
        <v>10</v>
      </c>
      <c r="H10" s="12">
        <v>0.79</v>
      </c>
      <c r="K10" s="144">
        <v>32</v>
      </c>
      <c r="N10" s="25" t="s">
        <v>44</v>
      </c>
      <c r="O10" s="47" t="s">
        <v>48</v>
      </c>
      <c r="P10" s="43">
        <v>4</v>
      </c>
      <c r="Q10" s="15">
        <v>3.2</v>
      </c>
    </row>
    <row r="11" spans="1:21" ht="15.75" thickBot="1" x14ac:dyDescent="0.3">
      <c r="A11" s="18" t="s">
        <v>176</v>
      </c>
      <c r="D11" s="9"/>
      <c r="E11" s="9"/>
      <c r="G11" s="144">
        <v>12</v>
      </c>
      <c r="H11" s="12">
        <v>1.1299999999999999</v>
      </c>
      <c r="I11" s="5"/>
      <c r="K11" s="144">
        <v>40</v>
      </c>
      <c r="L11" s="5"/>
      <c r="M11" s="1"/>
      <c r="N11" s="26" t="s">
        <v>44</v>
      </c>
      <c r="O11" s="48" t="s">
        <v>49</v>
      </c>
      <c r="P11" s="44">
        <v>1.2</v>
      </c>
      <c r="Q11" s="14">
        <v>0.9</v>
      </c>
    </row>
    <row r="12" spans="1:21" x14ac:dyDescent="0.25">
      <c r="A12" s="11" t="s">
        <v>177</v>
      </c>
      <c r="B12" s="178">
        <v>1</v>
      </c>
      <c r="G12" s="144">
        <v>16</v>
      </c>
      <c r="H12" s="12">
        <v>2.0099999999999998</v>
      </c>
    </row>
    <row r="13" spans="1:21" x14ac:dyDescent="0.25">
      <c r="A13" s="11" t="s">
        <v>178</v>
      </c>
      <c r="B13" s="12">
        <v>3</v>
      </c>
      <c r="E13" t="s">
        <v>53</v>
      </c>
      <c r="G13" s="144">
        <v>20</v>
      </c>
      <c r="H13" s="12">
        <v>3.14</v>
      </c>
      <c r="N13" s="37" t="str" cm="1">
        <f t="array" ref="N13:N17">_xlfn.UNIQUE(N4:N11)</f>
        <v>Pilares</v>
      </c>
    </row>
    <row r="14" spans="1:21" x14ac:dyDescent="0.25">
      <c r="A14" s="11" t="s">
        <v>179</v>
      </c>
      <c r="B14" s="12">
        <v>1.5</v>
      </c>
      <c r="G14" s="144">
        <v>25</v>
      </c>
      <c r="H14" s="12">
        <v>4.91</v>
      </c>
      <c r="N14" s="37" t="str">
        <v>Losas</v>
      </c>
    </row>
    <row r="15" spans="1:21" x14ac:dyDescent="0.25">
      <c r="A15" s="11" t="s">
        <v>180</v>
      </c>
      <c r="B15" s="12">
        <v>2</v>
      </c>
      <c r="G15" s="144">
        <v>32</v>
      </c>
      <c r="H15" s="12">
        <v>8.0399999999999991</v>
      </c>
      <c r="N15" s="37" t="str">
        <v>ForjadosUnidireccionales</v>
      </c>
    </row>
    <row r="16" spans="1:21" x14ac:dyDescent="0.25">
      <c r="N16" s="37" t="str">
        <v>Vigas</v>
      </c>
    </row>
    <row r="17" spans="1:15" x14ac:dyDescent="0.25">
      <c r="G17" s="11" t="s">
        <v>383</v>
      </c>
      <c r="H17" s="11"/>
      <c r="N17" s="37" t="str">
        <v>Muros</v>
      </c>
    </row>
    <row r="18" spans="1:15" x14ac:dyDescent="0.25">
      <c r="A18" s="179" t="s">
        <v>188</v>
      </c>
      <c r="B18" s="10"/>
      <c r="G18" s="11" t="s">
        <v>374</v>
      </c>
      <c r="H18" s="11">
        <v>1.7</v>
      </c>
    </row>
    <row r="19" spans="1:15" x14ac:dyDescent="0.25">
      <c r="A19" s="11" t="s">
        <v>182</v>
      </c>
      <c r="B19" s="12">
        <v>0.5</v>
      </c>
      <c r="G19" s="11" t="s">
        <v>384</v>
      </c>
      <c r="H19" s="11">
        <v>1.3</v>
      </c>
    </row>
    <row r="20" spans="1:15" x14ac:dyDescent="0.25">
      <c r="A20" s="11" t="s">
        <v>183</v>
      </c>
      <c r="B20" s="12">
        <v>1</v>
      </c>
      <c r="N20" s="6" t="s">
        <v>38</v>
      </c>
      <c r="O20" s="12">
        <v>0.6</v>
      </c>
    </row>
    <row r="21" spans="1:15" x14ac:dyDescent="0.25">
      <c r="A21" s="11" t="s">
        <v>184</v>
      </c>
      <c r="B21" s="12">
        <v>0.7</v>
      </c>
      <c r="N21" s="11" t="s">
        <v>39</v>
      </c>
      <c r="O21" s="12">
        <v>0.75</v>
      </c>
    </row>
    <row r="22" spans="1:15" x14ac:dyDescent="0.25">
      <c r="A22" s="11" t="s">
        <v>185</v>
      </c>
      <c r="B22" s="12">
        <v>2</v>
      </c>
    </row>
    <row r="23" spans="1:15" x14ac:dyDescent="0.25">
      <c r="A23" s="11" t="s">
        <v>186</v>
      </c>
      <c r="B23" s="12">
        <v>1</v>
      </c>
      <c r="N23" s="10" t="s">
        <v>324</v>
      </c>
      <c r="O23" s="10"/>
    </row>
    <row r="24" spans="1:15" x14ac:dyDescent="0.25">
      <c r="N24" s="309" t="s">
        <v>329</v>
      </c>
      <c r="O24" s="309"/>
    </row>
    <row r="25" spans="1:15" x14ac:dyDescent="0.25">
      <c r="N25" s="310" t="s">
        <v>327</v>
      </c>
      <c r="O25" s="310" t="s">
        <v>328</v>
      </c>
    </row>
    <row r="26" spans="1:15" ht="15.75" x14ac:dyDescent="0.25">
      <c r="M26" s="3" t="s">
        <v>325</v>
      </c>
      <c r="N26" s="11">
        <v>0.2</v>
      </c>
      <c r="O26" s="11">
        <v>0.8</v>
      </c>
    </row>
    <row r="27" spans="1:15" ht="15.75" x14ac:dyDescent="0.25">
      <c r="A27" s="263" t="s">
        <v>236</v>
      </c>
      <c r="B27" s="10">
        <v>1</v>
      </c>
      <c r="M27" s="3" t="s">
        <v>326</v>
      </c>
      <c r="N27" s="11">
        <v>0.3</v>
      </c>
      <c r="O27" s="11">
        <v>0.6</v>
      </c>
    </row>
    <row r="28" spans="1:15" ht="15.75" x14ac:dyDescent="0.25">
      <c r="M28" s="3" t="s">
        <v>326</v>
      </c>
      <c r="N28" s="11">
        <v>0.6</v>
      </c>
      <c r="O28" s="11">
        <v>0.9</v>
      </c>
    </row>
    <row r="30" spans="1:15" x14ac:dyDescent="0.25">
      <c r="A30" s="302" t="s">
        <v>319</v>
      </c>
      <c r="B30" s="303"/>
      <c r="C30" s="303"/>
      <c r="D30" s="303"/>
      <c r="E30" s="304"/>
    </row>
    <row r="31" spans="1:15" x14ac:dyDescent="0.25">
      <c r="A31" s="300" t="s">
        <v>259</v>
      </c>
      <c r="B31" s="343">
        <f>1/5*'Verificacion de Cortante'!$M$11</f>
        <v>156</v>
      </c>
      <c r="C31" s="298"/>
      <c r="D31" s="299" t="s">
        <v>262</v>
      </c>
      <c r="E31" s="343">
        <f>MIN(600,0.75*'Verificacion de Cortante'!Q4*(1+0)*1000)</f>
        <v>195</v>
      </c>
    </row>
    <row r="32" spans="1:15" x14ac:dyDescent="0.25">
      <c r="A32" s="301" t="s">
        <v>260</v>
      </c>
      <c r="B32" s="342">
        <f>2/3*'Verificacion de Cortante'!$M$11</f>
        <v>520</v>
      </c>
      <c r="C32" s="296"/>
      <c r="D32" s="297" t="s">
        <v>261</v>
      </c>
      <c r="E32" s="342">
        <f>MIN(0.6*'Verificacion de Cortante'!Q4*(1+0)*1000,450)</f>
        <v>156</v>
      </c>
    </row>
    <row r="33" spans="1:5" x14ac:dyDescent="0.25">
      <c r="A33" s="301"/>
      <c r="B33" s="28"/>
      <c r="C33" s="296"/>
      <c r="D33" s="297" t="s">
        <v>263</v>
      </c>
      <c r="E33" s="342">
        <f>MIN(0.3*'Verificacion de Cortante'!Q4*(1+0)*1000,300)</f>
        <v>78</v>
      </c>
    </row>
  </sheetData>
  <phoneticPr fontId="17" type="noConversion"/>
  <pageMargins left="0.7" right="0.7" top="0.75" bottom="0.75" header="0.3" footer="0.3"/>
  <pageSetup paperSize="9" orientation="portrait" r:id="rId1"/>
  <colBreaks count="2" manualBreakCount="2">
    <brk id="5" max="1048575" man="1"/>
    <brk id="11" max="1048575" man="1"/>
  </colBreaks>
  <tableParts count="2">
    <tablePart r:id="rId2"/>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615891-A2E2-4229-93BD-C714C3309A7A}">
  <sheetPr codeName="Hoja2"/>
  <dimension ref="A1:L47"/>
  <sheetViews>
    <sheetView showGridLines="0" tabSelected="1" zoomScale="70" zoomScaleNormal="70" zoomScaleSheetLayoutView="70" zoomScalePageLayoutView="55" workbookViewId="0">
      <selection activeCell="F3" sqref="F3"/>
    </sheetView>
  </sheetViews>
  <sheetFormatPr defaultColWidth="11.42578125" defaultRowHeight="15.75" x14ac:dyDescent="0.25"/>
  <cols>
    <col min="1" max="1" width="6.7109375" style="387" customWidth="1"/>
    <col min="2" max="2" width="20" style="54" customWidth="1"/>
    <col min="3" max="3" width="9.7109375" style="49" customWidth="1"/>
    <col min="4" max="4" width="14.140625" style="49" customWidth="1"/>
    <col min="5" max="5" width="15.140625" style="3" customWidth="1"/>
    <col min="6" max="6" width="15.42578125" style="55" customWidth="1"/>
    <col min="7" max="7" width="11.42578125" style="55" customWidth="1"/>
    <col min="8" max="8" width="25.42578125" style="3" customWidth="1"/>
    <col min="9" max="9" width="20.28515625" style="49" customWidth="1"/>
    <col min="10" max="10" width="6.85546875" style="49" customWidth="1"/>
    <col min="11" max="11" width="14.140625" style="49" customWidth="1"/>
    <col min="12" max="12" width="2.140625" style="49" customWidth="1"/>
  </cols>
  <sheetData>
    <row r="1" spans="1:12" ht="81" customHeight="1" x14ac:dyDescent="0.25">
      <c r="F1" s="366" t="s">
        <v>250</v>
      </c>
      <c r="J1" s="367" t="s">
        <v>258</v>
      </c>
    </row>
    <row r="2" spans="1:12" x14ac:dyDescent="0.25">
      <c r="A2" s="387" t="s">
        <v>80</v>
      </c>
      <c r="C2" s="101" t="str">
        <f>IF($F$15&gt;$F$21,"Considerar redimensionado de sección!","")</f>
        <v/>
      </c>
      <c r="D2" s="101"/>
      <c r="E2" s="101"/>
      <c r="F2" s="101"/>
    </row>
    <row r="3" spans="1:12" x14ac:dyDescent="0.25">
      <c r="B3" s="56" t="s">
        <v>3</v>
      </c>
      <c r="E3" s="3" t="s">
        <v>253</v>
      </c>
      <c r="F3" s="57">
        <v>0.6</v>
      </c>
      <c r="G3" s="3"/>
      <c r="H3" s="58" t="s">
        <v>37</v>
      </c>
    </row>
    <row r="4" spans="1:12" x14ac:dyDescent="0.25">
      <c r="B4" s="59"/>
      <c r="E4" s="3" t="s">
        <v>5</v>
      </c>
      <c r="F4" s="57">
        <v>0.4</v>
      </c>
      <c r="G4" s="3" t="s">
        <v>22</v>
      </c>
      <c r="H4" s="60">
        <v>200000</v>
      </c>
      <c r="I4"/>
      <c r="J4"/>
    </row>
    <row r="5" spans="1:12" x14ac:dyDescent="0.25">
      <c r="B5" s="55"/>
      <c r="E5" s="3" t="s">
        <v>6</v>
      </c>
      <c r="F5" s="250">
        <f>+$F$3-$F$8</f>
        <v>0.54999999999999993</v>
      </c>
      <c r="G5" s="3"/>
      <c r="H5" s="55"/>
      <c r="I5"/>
      <c r="J5" s="52" t="s">
        <v>264</v>
      </c>
      <c r="K5" s="313">
        <v>6</v>
      </c>
    </row>
    <row r="6" spans="1:12" ht="18.75" x14ac:dyDescent="0.35">
      <c r="B6" s="59"/>
      <c r="G6" s="3" t="s">
        <v>85</v>
      </c>
      <c r="H6" s="94">
        <f>INDEX('Tablas EHE'!$B$2:$B$7,MATCH($F$7,'Tablas EHE'!$A$2:$A$7,0))</f>
        <v>40</v>
      </c>
      <c r="I6"/>
      <c r="J6" s="268" t="s">
        <v>399</v>
      </c>
      <c r="K6" s="364">
        <v>1</v>
      </c>
    </row>
    <row r="7" spans="1:12" ht="18.75" x14ac:dyDescent="0.35">
      <c r="B7" s="56" t="s">
        <v>2</v>
      </c>
      <c r="E7" s="3" t="s">
        <v>7</v>
      </c>
      <c r="F7" s="64" t="s">
        <v>12</v>
      </c>
      <c r="G7" s="3" t="s">
        <v>56</v>
      </c>
      <c r="H7" s="65">
        <v>3.5</v>
      </c>
      <c r="I7" s="229">
        <f>H7/1000</f>
        <v>3.5000000000000001E-3</v>
      </c>
      <c r="J7"/>
    </row>
    <row r="8" spans="1:12" ht="18.75" x14ac:dyDescent="0.35">
      <c r="B8" s="59"/>
      <c r="E8" s="3" t="s">
        <v>25</v>
      </c>
      <c r="F8" s="57">
        <v>0.05</v>
      </c>
      <c r="G8" s="3" t="s">
        <v>66</v>
      </c>
      <c r="H8" s="66">
        <f>IF($F$9="B500S",'Tablas EHE'!$E$3,'Tablas EHE'!$E$2)</f>
        <v>400</v>
      </c>
      <c r="I8"/>
      <c r="J8"/>
    </row>
    <row r="9" spans="1:12" ht="18.75" x14ac:dyDescent="0.35">
      <c r="B9" s="59"/>
      <c r="E9" s="3" t="s">
        <v>16</v>
      </c>
      <c r="F9" s="64" t="s">
        <v>14</v>
      </c>
      <c r="G9" s="3" t="s">
        <v>17</v>
      </c>
      <c r="H9" s="67">
        <f>+$H$13/$H$4*1000</f>
        <v>1.7391304347826089</v>
      </c>
      <c r="L9" s="49" t="s">
        <v>53</v>
      </c>
    </row>
    <row r="10" spans="1:12" x14ac:dyDescent="0.25">
      <c r="B10" s="59"/>
      <c r="H10" s="55"/>
      <c r="J10" s="49" t="s">
        <v>53</v>
      </c>
      <c r="L10" s="68"/>
    </row>
    <row r="11" spans="1:12" x14ac:dyDescent="0.25">
      <c r="B11" s="56" t="s">
        <v>1</v>
      </c>
      <c r="E11" s="3" t="s">
        <v>18</v>
      </c>
      <c r="F11" s="64" t="s">
        <v>19</v>
      </c>
      <c r="G11" s="3"/>
      <c r="H11" s="55"/>
      <c r="I11" s="49" t="s">
        <v>53</v>
      </c>
    </row>
    <row r="12" spans="1:12" ht="18.75" x14ac:dyDescent="0.35">
      <c r="E12" s="3" t="s">
        <v>67</v>
      </c>
      <c r="F12" s="69">
        <f>INDEX('Tablas EHE'!$H$3:$H$4,MATCH($F$11,'Tablas EHE'!$G$3:$G$4,0))</f>
        <v>1.5</v>
      </c>
      <c r="G12" s="3" t="s">
        <v>86</v>
      </c>
      <c r="H12" s="63">
        <f>$H$6/$F$12</f>
        <v>26.666666666666668</v>
      </c>
    </row>
    <row r="13" spans="1:12" ht="18.75" x14ac:dyDescent="0.35">
      <c r="E13" s="3" t="s">
        <v>68</v>
      </c>
      <c r="F13" s="69">
        <f>INDEX('Tablas EHE'!$I$3:$I$4,MATCH($F$11,'Tablas EHE'!$G$3:$G$4,0))</f>
        <v>1.1499999999999999</v>
      </c>
      <c r="G13" s="3" t="s">
        <v>87</v>
      </c>
      <c r="H13" s="63">
        <f>+$H$8/$F$13</f>
        <v>347.82608695652175</v>
      </c>
    </row>
    <row r="14" spans="1:12" x14ac:dyDescent="0.25">
      <c r="G14" s="3"/>
      <c r="H14" s="49"/>
    </row>
    <row r="15" spans="1:12" x14ac:dyDescent="0.25">
      <c r="B15" s="56" t="s">
        <v>0</v>
      </c>
      <c r="D15" s="252"/>
      <c r="E15" s="52" t="s">
        <v>21</v>
      </c>
      <c r="F15" s="70">
        <v>450</v>
      </c>
    </row>
    <row r="16" spans="1:12" ht="36" customHeight="1" x14ac:dyDescent="0.25">
      <c r="D16" s="49" t="s">
        <v>201</v>
      </c>
      <c r="F16" s="3"/>
      <c r="G16" s="49"/>
      <c r="H16" s="254"/>
      <c r="I16" s="248"/>
    </row>
    <row r="17" spans="1:9" x14ac:dyDescent="0.25">
      <c r="A17" s="387" t="s">
        <v>4</v>
      </c>
    </row>
    <row r="18" spans="1:9" ht="18.75" customHeight="1" x14ac:dyDescent="0.35">
      <c r="D18" s="50" t="s">
        <v>82</v>
      </c>
      <c r="E18" s="52" t="s">
        <v>83</v>
      </c>
      <c r="F18" s="71">
        <f>+$H$7/($H$7+$H$9)</f>
        <v>0.66804979253112029</v>
      </c>
      <c r="G18" s="72">
        <f>F18*$F$5</f>
        <v>0.3674273858921161</v>
      </c>
      <c r="I18" s="3"/>
    </row>
    <row r="19" spans="1:9" ht="17.25" customHeight="1" x14ac:dyDescent="0.35">
      <c r="E19" s="52" t="s">
        <v>69</v>
      </c>
      <c r="F19" s="73">
        <f>0.8*$G$18</f>
        <v>0.29394190871369291</v>
      </c>
    </row>
    <row r="20" spans="1:9" ht="17.25" customHeight="1" x14ac:dyDescent="0.35">
      <c r="D20" s="50" t="s">
        <v>26</v>
      </c>
      <c r="E20" s="52" t="s">
        <v>64</v>
      </c>
      <c r="F20" s="74">
        <f>0.8*G18*F4*H12*1000</f>
        <v>3135.3803596127245</v>
      </c>
    </row>
    <row r="21" spans="1:9" ht="17.25" customHeight="1" x14ac:dyDescent="0.35">
      <c r="D21" s="50" t="s">
        <v>27</v>
      </c>
      <c r="E21" s="52" t="s">
        <v>81</v>
      </c>
      <c r="F21" s="249">
        <f>F20*(F5-F19/2)</f>
        <v>1263.6493540630036</v>
      </c>
    </row>
    <row r="22" spans="1:9" ht="36.75" customHeight="1" x14ac:dyDescent="0.25">
      <c r="D22" s="3"/>
      <c r="F22" s="3"/>
    </row>
    <row r="23" spans="1:9" x14ac:dyDescent="0.25">
      <c r="A23" s="387" t="s">
        <v>28</v>
      </c>
      <c r="F23" s="3"/>
      <c r="I23" s="49" t="s">
        <v>53</v>
      </c>
    </row>
    <row r="24" spans="1:9" x14ac:dyDescent="0.25">
      <c r="E24" s="3" t="s">
        <v>53</v>
      </c>
    </row>
    <row r="25" spans="1:9" ht="19.5" x14ac:dyDescent="0.35">
      <c r="D25" s="3" t="str">
        <f>IF(F15&lt;F21,"Armadura de compresión no necesaria","Armadura de compresión necesaria")</f>
        <v>Armadura de compresión no necesaria</v>
      </c>
      <c r="E25" s="52" t="s">
        <v>70</v>
      </c>
      <c r="F25" s="75" t="str">
        <f>+IF(F21&gt;F15,"&lt;","&gt;")</f>
        <v>&lt;</v>
      </c>
      <c r="G25" s="58" t="s">
        <v>71</v>
      </c>
      <c r="H25" s="3" t="s">
        <v>53</v>
      </c>
      <c r="I25" s="253" t="str">
        <f>IF(F26&lt;F5*I7/(I7+0.01),"Dominio 2","Dominio 3")</f>
        <v>Dominio 2</v>
      </c>
    </row>
    <row r="26" spans="1:9" x14ac:dyDescent="0.25">
      <c r="D26" s="50" t="s">
        <v>257</v>
      </c>
      <c r="E26" s="99">
        <f>IF($F$21&gt;$F$15,(1-SQRT(1-((2*F15)/(H12*1000*F4*F5^2))))/0.8,$F$18)</f>
        <v>0.18854876748469293</v>
      </c>
      <c r="F26" s="98">
        <f>E26*F5</f>
        <v>0.1037018221165811</v>
      </c>
      <c r="I26" s="49" t="s">
        <v>53</v>
      </c>
    </row>
    <row r="27" spans="1:9" ht="18.75" customHeight="1" x14ac:dyDescent="0.35">
      <c r="D27" s="3" t="s">
        <v>57</v>
      </c>
      <c r="E27" s="251">
        <f>ABS(IF(I25="Dominio 2",10,3.5*(F5-F26/F26)))</f>
        <v>10</v>
      </c>
      <c r="H27" s="3" t="s">
        <v>252</v>
      </c>
      <c r="I27" s="251">
        <f>IF(I25="Dominio 2",10*F26/(F5-F26),3.5)</f>
        <v>2.3235994959331849</v>
      </c>
    </row>
    <row r="28" spans="1:9" x14ac:dyDescent="0.25">
      <c r="B28" s="76"/>
      <c r="E28" s="55"/>
      <c r="F28" s="49"/>
      <c r="G28" s="49"/>
      <c r="H28" s="49" t="s">
        <v>53</v>
      </c>
    </row>
    <row r="29" spans="1:9" x14ac:dyDescent="0.25">
      <c r="D29" s="3" t="s">
        <v>58</v>
      </c>
      <c r="E29" s="77">
        <f>IF($F$21&gt;$F$15,$F$5*(1-SQRT(1-((2*$F$15)/($H$12*1000*$F$4*$F$5^2)))),$F$19)</f>
        <v>8.2961457693264878E-2</v>
      </c>
    </row>
    <row r="30" spans="1:9" ht="18.75" x14ac:dyDescent="0.35">
      <c r="D30" s="3" t="s">
        <v>59</v>
      </c>
      <c r="E30" s="78">
        <f>0.8*F26*F4*H12*1000</f>
        <v>884.92221539482557</v>
      </c>
    </row>
    <row r="31" spans="1:9" ht="19.5" thickBot="1" x14ac:dyDescent="0.4">
      <c r="D31" s="3" t="s">
        <v>60</v>
      </c>
      <c r="E31" s="78">
        <f>IF(F21&gt;F15,E30,F20+E33)</f>
        <v>884.92221539482557</v>
      </c>
    </row>
    <row r="32" spans="1:9" ht="18" customHeight="1" thickBot="1" x14ac:dyDescent="0.4">
      <c r="B32" s="79"/>
      <c r="C32" s="80"/>
      <c r="D32" s="51" t="s">
        <v>61</v>
      </c>
      <c r="E32" s="81">
        <f>IF(F26=G18,E31*10/H13,E30*10/H13)</f>
        <v>25.441513692601237</v>
      </c>
      <c r="F32" s="52" t="s">
        <v>72</v>
      </c>
      <c r="G32" s="82">
        <f>F15/(0.9*40*F5)</f>
        <v>22.72727272727273</v>
      </c>
      <c r="H32" s="3" t="s">
        <v>53</v>
      </c>
    </row>
    <row r="33" spans="1:11" ht="19.5" thickBot="1" x14ac:dyDescent="0.4">
      <c r="D33" s="3" t="s">
        <v>62</v>
      </c>
      <c r="E33" s="187">
        <f>IF(E26-F18&lt;&gt;0,0,($F$15-$F$21)/($F$5-$F$8))</f>
        <v>0</v>
      </c>
      <c r="H33" s="3" t="s">
        <v>53</v>
      </c>
      <c r="I33" s="83"/>
    </row>
    <row r="34" spans="1:11" ht="18" customHeight="1" thickBot="1" x14ac:dyDescent="0.3">
      <c r="B34" s="79"/>
      <c r="C34" s="80"/>
      <c r="D34" s="51" t="s">
        <v>54</v>
      </c>
      <c r="E34" s="188">
        <f>IF(E26-F18&lt;&gt;0,0,$E$33*10/$E$36)</f>
        <v>0</v>
      </c>
      <c r="G34" s="49"/>
    </row>
    <row r="35" spans="1:11" ht="9.75" customHeight="1" x14ac:dyDescent="0.25">
      <c r="D35" s="3"/>
      <c r="E35" s="55"/>
    </row>
    <row r="36" spans="1:11" ht="18.75" x14ac:dyDescent="0.35">
      <c r="D36" s="52" t="s">
        <v>63</v>
      </c>
      <c r="E36" s="189">
        <f>IF(E26-F18&lt;&gt;0,0,MIN($H$13,400))</f>
        <v>0</v>
      </c>
    </row>
    <row r="37" spans="1:11" ht="18.75" x14ac:dyDescent="0.35">
      <c r="A37" s="387" t="s">
        <v>29</v>
      </c>
      <c r="D37" s="52" t="s">
        <v>64</v>
      </c>
      <c r="E37" s="190">
        <f>IF(E26-F18&lt;&gt;0,0,E31-E33)</f>
        <v>0</v>
      </c>
    </row>
    <row r="38" spans="1:11" x14ac:dyDescent="0.25">
      <c r="E38" s="55"/>
    </row>
    <row r="39" spans="1:11" ht="19.5" thickBot="1" x14ac:dyDescent="0.4">
      <c r="D39" s="3" t="s">
        <v>65</v>
      </c>
      <c r="E39" s="84">
        <f>0.04*10000*F4*F3*(H12/H13)</f>
        <v>7.3600000000000012</v>
      </c>
      <c r="H39" s="85" t="s">
        <v>73</v>
      </c>
      <c r="I39" s="86"/>
      <c r="J39" s="87"/>
      <c r="K39" s="88"/>
    </row>
    <row r="40" spans="1:11" ht="19.5" thickTop="1" x14ac:dyDescent="0.35">
      <c r="D40" s="3" t="s">
        <v>74</v>
      </c>
      <c r="E40" s="84" cm="1">
        <f t="array" ref="E40">IFERROR(INDEX(IF($H$8='Tablas EHE'!Q$3,'Tablas EHE'!$Q$4:$Q$11,IF($H$8='Tablas EHE'!P$3,'Tablas EHE'!$P$4:$P$11)),MATCH($H$40&amp;" | "&amp;I40,'Tablas EHE'!N$4:N$11&amp;" | "&amp;'Tablas EHE'!O4:O11,0))*F3*F4*10,"Elemento mal seleccionado")</f>
        <v>7.919999999999999</v>
      </c>
      <c r="H40" s="89" t="s">
        <v>50</v>
      </c>
      <c r="I40" s="89"/>
    </row>
    <row r="41" spans="1:11" x14ac:dyDescent="0.25">
      <c r="E41" s="90"/>
      <c r="G41" s="55" t="s">
        <v>254</v>
      </c>
      <c r="H41" s="55"/>
    </row>
    <row r="43" spans="1:11" x14ac:dyDescent="0.25">
      <c r="A43" s="387" t="s">
        <v>30</v>
      </c>
      <c r="G43" s="55" t="s">
        <v>53</v>
      </c>
    </row>
    <row r="44" spans="1:11" x14ac:dyDescent="0.25">
      <c r="D44" s="53"/>
      <c r="E44" s="228" t="s">
        <v>31</v>
      </c>
      <c r="F44" s="228" t="s">
        <v>117</v>
      </c>
      <c r="G44" s="228" t="s">
        <v>32</v>
      </c>
    </row>
    <row r="45" spans="1:11" ht="16.5" customHeight="1" x14ac:dyDescent="0.25">
      <c r="B45" s="255" t="s">
        <v>256</v>
      </c>
      <c r="D45" s="227" t="s">
        <v>191</v>
      </c>
      <c r="E45" s="230">
        <v>12</v>
      </c>
      <c r="F45" s="200">
        <v>8</v>
      </c>
      <c r="G45" s="91">
        <f>F45*PI()*(E45/20)^2</f>
        <v>9.0477868423386045</v>
      </c>
      <c r="H45" s="55" t="str">
        <f>IF(G45&gt;MAX($E$34,$E$39,$E$40),"OK","No valido")</f>
        <v>OK</v>
      </c>
    </row>
    <row r="46" spans="1:11" ht="16.5" customHeight="1" x14ac:dyDescent="0.25">
      <c r="B46" s="255" t="s">
        <v>255</v>
      </c>
      <c r="D46" s="227" t="s">
        <v>192</v>
      </c>
      <c r="E46" s="246">
        <v>25</v>
      </c>
      <c r="F46" s="200">
        <v>6</v>
      </c>
      <c r="G46" s="91">
        <f>F46*PI()*(E46/20)^2</f>
        <v>29.45243112740431</v>
      </c>
      <c r="H46" s="55" t="str">
        <f>IF(G46&gt;MAX($E$32,$E$39,$E$40),"OK","No valido")</f>
        <v>OK</v>
      </c>
    </row>
    <row r="47" spans="1:11" x14ac:dyDescent="0.25">
      <c r="E47" s="256"/>
    </row>
  </sheetData>
  <dataConsolidate/>
  <conditionalFormatting sqref="H45:H46">
    <cfRule type="cellIs" dxfId="36" priority="2" operator="equal">
      <formula>"no valido"</formula>
    </cfRule>
    <cfRule type="cellIs" dxfId="35" priority="7" operator="equal">
      <formula>"OK"</formula>
    </cfRule>
  </conditionalFormatting>
  <conditionalFormatting sqref="D25">
    <cfRule type="cellIs" dxfId="34" priority="5" operator="equal">
      <formula>"Armadura de compresión necesaria"</formula>
    </cfRule>
    <cfRule type="cellIs" dxfId="33" priority="6" operator="equal">
      <formula>"Armadura de compresión no necesaria"</formula>
    </cfRule>
  </conditionalFormatting>
  <conditionalFormatting sqref="E40:F40">
    <cfRule type="expression" dxfId="32" priority="4">
      <formula>AND($E$40="Elemento mal seleccionado")</formula>
    </cfRule>
  </conditionalFormatting>
  <conditionalFormatting sqref="C2:F2">
    <cfRule type="expression" dxfId="31" priority="1">
      <formula>$F$15&gt;$F$21</formula>
    </cfRule>
  </conditionalFormatting>
  <dataValidations count="2">
    <dataValidation type="list" errorStyle="warning" allowBlank="1" showInputMessage="1" showErrorMessage="1" errorTitle="error" error="Seleccionar elemento correcto" sqref="I40" xr:uid="{CA82D93A-283C-4054-B88D-CA10A6BE0FB2}">
      <formula1>INDIRECT($H40)</formula1>
    </dataValidation>
    <dataValidation type="list" allowBlank="1" showInputMessage="1" showErrorMessage="1" errorTitle="Error en los diámetros" error="Los diámetros introducidos no son válidos" sqref="E45:E46" xr:uid="{B082246E-8605-4B4A-B83E-B31B2C2AC844}">
      <formula1>Diámetros</formula1>
    </dataValidation>
  </dataValidations>
  <pageMargins left="0.25" right="0.25" top="0.75" bottom="0.75" header="0.3" footer="0.3"/>
  <pageSetup paperSize="9" scale="62" orientation="portrait" cellComments="asDisplayed" r:id="rId1"/>
  <headerFooter>
    <oddHeader>&amp;LPablo Hernandez Zamora&amp;CExamen parcial&amp;RDNI:51527726P</oddHeader>
  </headerFooter>
  <colBreaks count="1" manualBreakCount="1">
    <brk id="11" max="49" man="1"/>
  </colBreaks>
  <drawing r:id="rId2"/>
  <legacyDrawing r:id="rId3"/>
  <controls>
    <mc:AlternateContent xmlns:mc="http://schemas.openxmlformats.org/markup-compatibility/2006">
      <mc:Choice Requires="x14">
        <control shapeId="1108" r:id="rId4" name="AA_CheckBox1">
          <controlPr defaultSize="0" autoLine="0" r:id="rId5">
            <anchor moveWithCells="1">
              <from>
                <xdr:col>6</xdr:col>
                <xdr:colOff>447675</xdr:colOff>
                <xdr:row>14</xdr:row>
                <xdr:rowOff>9525</xdr:rowOff>
              </from>
              <to>
                <xdr:col>7</xdr:col>
                <xdr:colOff>762000</xdr:colOff>
                <xdr:row>15</xdr:row>
                <xdr:rowOff>47625</xdr:rowOff>
              </to>
            </anchor>
          </controlPr>
        </control>
      </mc:Choice>
      <mc:Fallback>
        <control shapeId="1108" r:id="rId4" name="AA_CheckBox1"/>
      </mc:Fallback>
    </mc:AlternateContent>
    <mc:AlternateContent xmlns:mc="http://schemas.openxmlformats.org/markup-compatibility/2006">
      <mc:Choice Requires="x14">
        <control shapeId="1087" r:id="rId6" name="AA_Button 63">
          <controlPr defaultSize="0" print="0" autoFill="0" autoPict="0" macro="[0]!BarrasFlexsimple">
            <anchor moveWithCells="1" sizeWithCells="1">
              <from>
                <xdr:col>7</xdr:col>
                <xdr:colOff>1095375</xdr:colOff>
                <xdr:row>43</xdr:row>
                <xdr:rowOff>114300</xdr:rowOff>
              </from>
              <to>
                <xdr:col>8</xdr:col>
                <xdr:colOff>1295400</xdr:colOff>
                <xdr:row>45</xdr:row>
                <xdr:rowOff>200025</xdr:rowOff>
              </to>
            </anchor>
          </controlPr>
        </control>
      </mc:Choice>
    </mc:AlternateContent>
    <mc:AlternateContent xmlns:mc="http://schemas.openxmlformats.org/markup-compatibility/2006">
      <mc:Choice Requires="x14">
        <control shapeId="1101" r:id="rId7" name="AA_Button 77">
          <controlPr defaultSize="0" print="0" autoFill="0" autoPict="0" macro="[0]!Redimensionado">
            <anchor moveWithCells="1" sizeWithCells="1">
              <from>
                <xdr:col>2</xdr:col>
                <xdr:colOff>104775</xdr:colOff>
                <xdr:row>0</xdr:row>
                <xdr:rowOff>114300</xdr:rowOff>
              </from>
              <to>
                <xdr:col>4</xdr:col>
                <xdr:colOff>609600</xdr:colOff>
                <xdr:row>0</xdr:row>
                <xdr:rowOff>762000</xdr:rowOff>
              </to>
            </anchor>
          </controlPr>
        </control>
      </mc:Choice>
    </mc:AlternateContent>
    <mc:AlternateContent xmlns:mc="http://schemas.openxmlformats.org/markup-compatibility/2006">
      <mc:Choice Requires="x14">
        <control shapeId="1109" r:id="rId8" name="AA_Button 85">
          <controlPr defaultSize="0" print="0" autoFill="0" autoPict="0" macro="[0]!CalculoDiametros.CalculoDiametros">
            <anchor moveWithCells="1" sizeWithCells="1">
              <from>
                <xdr:col>7</xdr:col>
                <xdr:colOff>1085850</xdr:colOff>
                <xdr:row>46</xdr:row>
                <xdr:rowOff>123825</xdr:rowOff>
              </from>
              <to>
                <xdr:col>8</xdr:col>
                <xdr:colOff>1295400</xdr:colOff>
                <xdr:row>49</xdr:row>
                <xdr:rowOff>19050</xdr:rowOff>
              </to>
            </anchor>
          </controlPr>
        </control>
      </mc:Choice>
    </mc:AlternateContent>
    <mc:AlternateContent xmlns:mc="http://schemas.openxmlformats.org/markup-compatibility/2006">
      <mc:Choice Requires="x14">
        <control shapeId="1121" r:id="rId9" name="AA_Button 97">
          <controlPr defaultSize="0" print="0" autoFill="0" autoPict="0" macro="[0]!CroquisFS">
            <anchor moveWithCells="1" sizeWithCells="1">
              <from>
                <xdr:col>8</xdr:col>
                <xdr:colOff>847725</xdr:colOff>
                <xdr:row>0</xdr:row>
                <xdr:rowOff>714375</xdr:rowOff>
              </from>
              <to>
                <xdr:col>10</xdr:col>
                <xdr:colOff>495300</xdr:colOff>
                <xdr:row>1</xdr:row>
                <xdr:rowOff>133350</xdr:rowOff>
              </to>
            </anchor>
          </controlPr>
        </control>
      </mc:Choice>
    </mc:AlternateContent>
    <mc:AlternateContent xmlns:mc="http://schemas.openxmlformats.org/markup-compatibility/2006">
      <mc:Choice Requires="x14">
        <control shapeId="1096" r:id="rId10" name="AA_Button 72">
          <controlPr defaultSize="0" print="0" autoFill="0" autoPict="0" macro="[0]!Dimensionar">
            <anchor moveWithCells="1" sizeWithCells="1">
              <from>
                <xdr:col>7</xdr:col>
                <xdr:colOff>123825</xdr:colOff>
                <xdr:row>0</xdr:row>
                <xdr:rowOff>85725</xdr:rowOff>
              </from>
              <to>
                <xdr:col>8</xdr:col>
                <xdr:colOff>323850</xdr:colOff>
                <xdr:row>0</xdr:row>
                <xdr:rowOff>723900</xdr:rowOff>
              </to>
            </anchor>
          </controlPr>
        </control>
      </mc:Choice>
    </mc:AlternateContent>
    <mc:AlternateContent xmlns:mc="http://schemas.openxmlformats.org/markup-compatibility/2006">
      <mc:Choice Requires="x14">
        <control shapeId="1122" r:id="rId11" name="AA_Limpiar">
          <controlPr defaultSize="0" autoFill="0" autoPict="0" macro="[0]!BorrarTodos">
            <anchor moveWithCells="1">
              <from>
                <xdr:col>8</xdr:col>
                <xdr:colOff>857250</xdr:colOff>
                <xdr:row>1</xdr:row>
                <xdr:rowOff>180975</xdr:rowOff>
              </from>
              <to>
                <xdr:col>10</xdr:col>
                <xdr:colOff>504825</xdr:colOff>
                <xdr:row>3</xdr:row>
                <xdr:rowOff>47625</xdr:rowOff>
              </to>
            </anchor>
          </controlPr>
        </control>
      </mc:Choice>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74271CB9-67D3-4303-82E7-2F2268A2366F}">
          <x14:formula1>
            <xm:f>'Tablas EHE'!$A$2:$A$7</xm:f>
          </x14:formula1>
          <xm:sqref>F7</xm:sqref>
        </x14:dataValidation>
        <x14:dataValidation type="list" allowBlank="1" showInputMessage="1" showErrorMessage="1" xr:uid="{425AD451-2885-48D1-960C-A1514D5EB4F0}">
          <x14:formula1>
            <xm:f>'Tablas EHE'!$G$3:$G$4</xm:f>
          </x14:formula1>
          <xm:sqref>F11</xm:sqref>
        </x14:dataValidation>
        <x14:dataValidation type="list" allowBlank="1" showInputMessage="1" showErrorMessage="1" xr:uid="{74C27949-96E3-4801-AC0D-FBE269550FFA}">
          <x14:formula1>
            <xm:f>'Tablas EHE'!$D$2:$D$3</xm:f>
          </x14:formula1>
          <xm:sqref>F9</xm:sqref>
        </x14:dataValidation>
        <x14:dataValidation type="list" allowBlank="1" showInputMessage="1" showErrorMessage="1" xr:uid="{2F2FD6CD-3EAF-4C57-ADCC-B2E7B9B696D6}">
          <x14:formula1>
            <xm:f>_xlfn.ANCHORARRAY('Tablas EHE'!$N$13)</xm:f>
          </x14:formula1>
          <xm:sqref>H40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9ED3C1-90B1-4D66-9C90-F22549C5D239}">
  <sheetPr codeName="Hoja4"/>
  <dimension ref="A1:Z51"/>
  <sheetViews>
    <sheetView showGridLines="0" topLeftCell="A20" zoomScale="70" zoomScaleNormal="70" zoomScaleSheetLayoutView="70" workbookViewId="0">
      <selection activeCell="K48" sqref="K48"/>
    </sheetView>
  </sheetViews>
  <sheetFormatPr defaultColWidth="11.42578125" defaultRowHeight="15.75" x14ac:dyDescent="0.25"/>
  <cols>
    <col min="1" max="1" width="16.28515625" style="247" customWidth="1"/>
    <col min="2" max="2" width="14" style="54" customWidth="1"/>
    <col min="3" max="3" width="6.42578125" style="49" customWidth="1"/>
    <col min="4" max="4" width="18.28515625" style="3" customWidth="1"/>
    <col min="5" max="5" width="17.28515625" style="55" customWidth="1"/>
    <col min="6" max="6" width="12.5703125" style="55" customWidth="1"/>
    <col min="7" max="7" width="17" style="3" customWidth="1"/>
    <col min="8" max="8" width="12.7109375" style="49" bestFit="1" customWidth="1"/>
    <col min="9" max="9" width="12.7109375" style="49" customWidth="1"/>
    <col min="10" max="10" width="5.5703125" style="49" customWidth="1"/>
    <col min="11" max="11" width="12" style="75" customWidth="1"/>
    <col min="12" max="12" width="9.85546875" style="55" customWidth="1"/>
    <col min="13" max="13" width="7.28515625" style="49" customWidth="1"/>
    <col min="14" max="14" width="12.85546875" style="49" customWidth="1"/>
    <col min="15" max="15" width="7" style="49" customWidth="1"/>
    <col min="16" max="16" width="12.28515625" style="49" customWidth="1"/>
    <col min="17" max="17" width="4.5703125" style="3" customWidth="1"/>
    <col min="18" max="18" width="4.28515625" style="49" customWidth="1"/>
    <col min="19" max="19" width="11.85546875" style="49" customWidth="1"/>
    <col min="20" max="20" width="11.42578125" style="49"/>
    <col min="21" max="21" width="8.140625" bestFit="1" customWidth="1"/>
    <col min="22" max="22" width="4.7109375" customWidth="1"/>
    <col min="23" max="23" width="12.5703125" style="191" bestFit="1" customWidth="1"/>
    <col min="24" max="24" width="12.5703125" style="191" customWidth="1"/>
    <col min="26" max="26" width="13.42578125" bestFit="1" customWidth="1"/>
  </cols>
  <sheetData>
    <row r="1" spans="1:26" x14ac:dyDescent="0.25">
      <c r="A1" s="247" t="s">
        <v>80</v>
      </c>
      <c r="M1" s="92"/>
      <c r="W1" s="290" t="s">
        <v>275</v>
      </c>
      <c r="X1" s="290" t="s">
        <v>274</v>
      </c>
    </row>
    <row r="2" spans="1:26" x14ac:dyDescent="0.25">
      <c r="L2" s="100"/>
    </row>
    <row r="3" spans="1:26" x14ac:dyDescent="0.25">
      <c r="C3" s="3" t="s">
        <v>75</v>
      </c>
      <c r="D3" s="192">
        <v>0.4</v>
      </c>
      <c r="F3" s="3"/>
      <c r="G3" s="58" t="s">
        <v>37</v>
      </c>
      <c r="N3"/>
      <c r="O3"/>
      <c r="P3"/>
      <c r="Q3" s="1"/>
      <c r="R3"/>
      <c r="S3"/>
      <c r="T3"/>
    </row>
    <row r="4" spans="1:26" ht="18.75" x14ac:dyDescent="0.35">
      <c r="C4" s="3" t="s">
        <v>76</v>
      </c>
      <c r="D4" s="192">
        <v>0.4</v>
      </c>
      <c r="F4" s="3" t="s">
        <v>118</v>
      </c>
      <c r="G4" s="193">
        <v>200000</v>
      </c>
      <c r="N4"/>
      <c r="O4"/>
      <c r="P4"/>
      <c r="Q4" s="1"/>
      <c r="R4"/>
      <c r="S4"/>
      <c r="T4"/>
    </row>
    <row r="5" spans="1:26" x14ac:dyDescent="0.25">
      <c r="C5" s="3" t="s">
        <v>77</v>
      </c>
      <c r="D5" s="192">
        <v>0.03</v>
      </c>
      <c r="F5" s="3"/>
      <c r="G5" s="55"/>
      <c r="N5"/>
      <c r="O5"/>
      <c r="P5"/>
      <c r="Q5" s="1"/>
      <c r="R5"/>
      <c r="S5"/>
      <c r="T5"/>
    </row>
    <row r="6" spans="1:26" x14ac:dyDescent="0.25">
      <c r="C6" s="3" t="s">
        <v>78</v>
      </c>
      <c r="D6" s="202">
        <f>+$D$3-$D$5</f>
        <v>0.37</v>
      </c>
    </row>
    <row r="7" spans="1:26" ht="18.75" x14ac:dyDescent="0.35">
      <c r="A7" s="247" t="s">
        <v>79</v>
      </c>
      <c r="B7" s="59"/>
      <c r="C7"/>
      <c r="D7"/>
      <c r="F7" s="3" t="s">
        <v>56</v>
      </c>
      <c r="G7" s="194">
        <v>3.5</v>
      </c>
      <c r="K7" s="146"/>
      <c r="L7"/>
    </row>
    <row r="8" spans="1:26" ht="18.75" x14ac:dyDescent="0.35">
      <c r="B8" s="59"/>
      <c r="F8" s="3" t="s">
        <v>17</v>
      </c>
      <c r="G8" s="203">
        <f>+$G$12/$G$4*1000</f>
        <v>2.1739130434782608</v>
      </c>
      <c r="K8" s="289"/>
      <c r="L8" s="58" t="s">
        <v>154</v>
      </c>
    </row>
    <row r="9" spans="1:26" ht="18.75" x14ac:dyDescent="0.35">
      <c r="B9" s="56"/>
      <c r="C9" s="52" t="s">
        <v>7</v>
      </c>
      <c r="D9" s="64" t="s">
        <v>11</v>
      </c>
      <c r="F9" s="3" t="s">
        <v>85</v>
      </c>
      <c r="G9" s="204">
        <f>INDEX('Tablas EHE'!$B$2:$B$7,MATCH($D$9,'Tablas EHE'!$A$2:$A$7,0))</f>
        <v>35</v>
      </c>
      <c r="H9"/>
      <c r="K9" s="284"/>
      <c r="U9" s="288"/>
    </row>
    <row r="10" spans="1:26" ht="18.75" x14ac:dyDescent="0.35">
      <c r="B10" s="59"/>
      <c r="C10" s="52" t="s">
        <v>199</v>
      </c>
      <c r="D10" s="64" t="s">
        <v>15</v>
      </c>
      <c r="F10" s="3" t="s">
        <v>66</v>
      </c>
      <c r="G10" s="205">
        <f>IF(D10="B500S",'Tablas EHE'!$E$3,'Tablas EHE'!$E$2)</f>
        <v>500</v>
      </c>
      <c r="H10"/>
      <c r="K10" s="284"/>
      <c r="L10" s="58" t="s">
        <v>119</v>
      </c>
      <c r="N10" s="49" t="s">
        <v>123</v>
      </c>
      <c r="Z10" s="49"/>
    </row>
    <row r="11" spans="1:26" ht="18.75" x14ac:dyDescent="0.35">
      <c r="B11" s="56"/>
      <c r="C11" s="3" t="s">
        <v>18</v>
      </c>
      <c r="D11" s="64" t="s">
        <v>19</v>
      </c>
      <c r="F11" s="3" t="s">
        <v>86</v>
      </c>
      <c r="G11" s="206">
        <f>$G$9/$D$12</f>
        <v>23.333333333333332</v>
      </c>
      <c r="H11"/>
      <c r="K11" s="284" t="s">
        <v>159</v>
      </c>
      <c r="L11" s="55" t="s">
        <v>120</v>
      </c>
    </row>
    <row r="12" spans="1:26" ht="18.75" x14ac:dyDescent="0.35">
      <c r="C12" s="3" t="s">
        <v>67</v>
      </c>
      <c r="D12" s="145">
        <f>INDEX('Tablas EHE'!H3:H4,MATCH(D11,'Tablas EHE'!$G$3:$G$4,0))</f>
        <v>1.5</v>
      </c>
      <c r="F12" s="3" t="s">
        <v>87</v>
      </c>
      <c r="G12" s="206">
        <f>+$G$10/$D$13</f>
        <v>434.78260869565219</v>
      </c>
      <c r="H12"/>
      <c r="K12" s="287"/>
      <c r="L12" s="58" t="s">
        <v>121</v>
      </c>
      <c r="N12" s="49" t="s">
        <v>124</v>
      </c>
    </row>
    <row r="13" spans="1:26" ht="18.75" x14ac:dyDescent="0.35">
      <c r="C13" s="3" t="s">
        <v>68</v>
      </c>
      <c r="D13" s="145">
        <f>INDEX('Tablas EHE'!I3:I4,MATCH(D11,'Tablas EHE'!$G$3:$G$4,0))</f>
        <v>1.1499999999999999</v>
      </c>
      <c r="F13" s="3" t="s">
        <v>131</v>
      </c>
      <c r="G13" s="206">
        <f>MIN(G12,400)</f>
        <v>400</v>
      </c>
      <c r="H13"/>
      <c r="I13"/>
      <c r="K13" s="284"/>
      <c r="L13" s="55" t="s">
        <v>122</v>
      </c>
    </row>
    <row r="14" spans="1:26" x14ac:dyDescent="0.25">
      <c r="F14" s="223"/>
      <c r="G14" s="222"/>
      <c r="I14" s="49" t="s">
        <v>53</v>
      </c>
      <c r="U14" s="286"/>
    </row>
    <row r="15" spans="1:26" x14ac:dyDescent="0.25">
      <c r="K15" s="284"/>
      <c r="L15" s="58" t="s">
        <v>155</v>
      </c>
    </row>
    <row r="16" spans="1:26" x14ac:dyDescent="0.25">
      <c r="K16" s="284"/>
    </row>
    <row r="17" spans="1:22" x14ac:dyDescent="0.25">
      <c r="K17" s="284"/>
      <c r="L17" s="58" t="s">
        <v>125</v>
      </c>
      <c r="N17" s="49" t="s">
        <v>127</v>
      </c>
    </row>
    <row r="18" spans="1:22" ht="18.75" customHeight="1" x14ac:dyDescent="0.25">
      <c r="A18" s="247" t="s">
        <v>84</v>
      </c>
      <c r="B18"/>
      <c r="C18"/>
      <c r="D18"/>
      <c r="E18"/>
      <c r="H18" s="3"/>
      <c r="K18" s="284" t="s">
        <v>158</v>
      </c>
      <c r="L18" s="55" t="s">
        <v>128</v>
      </c>
      <c r="N18" s="68"/>
    </row>
    <row r="19" spans="1:22" ht="9.75" customHeight="1" x14ac:dyDescent="0.25">
      <c r="B19"/>
      <c r="C19"/>
      <c r="D19"/>
      <c r="E19"/>
      <c r="F19"/>
      <c r="G19"/>
      <c r="H19"/>
      <c r="I19"/>
      <c r="K19" s="284"/>
      <c r="L19" s="285"/>
      <c r="Q19" s="1"/>
      <c r="R19"/>
      <c r="S19"/>
      <c r="T19"/>
    </row>
    <row r="20" spans="1:22" ht="17.25" customHeight="1" x14ac:dyDescent="0.35">
      <c r="D20" s="52" t="s">
        <v>69</v>
      </c>
      <c r="E20" s="207">
        <f>0.8*$G$7*D6/($G$7+$G$8)</f>
        <v>0.18259003831417625</v>
      </c>
      <c r="G20" s="52" t="s">
        <v>88</v>
      </c>
      <c r="K20" s="284"/>
      <c r="L20" s="58" t="s">
        <v>126</v>
      </c>
      <c r="N20" s="49" t="s">
        <v>124</v>
      </c>
    </row>
    <row r="21" spans="1:22" ht="17.25" customHeight="1" x14ac:dyDescent="0.35">
      <c r="C21" s="50" t="s">
        <v>26</v>
      </c>
      <c r="D21" s="52" t="s">
        <v>64</v>
      </c>
      <c r="E21" s="208">
        <f>0.8*$G$7*D6/($G$7+$G$8)*$D$4*$G$11*1000</f>
        <v>1704.1736909323115</v>
      </c>
      <c r="G21" s="52" t="s">
        <v>89</v>
      </c>
      <c r="H21" s="209">
        <f>D4*D3*G11*1000</f>
        <v>3733.3333333333339</v>
      </c>
      <c r="K21" s="284"/>
      <c r="L21" s="55" t="s">
        <v>129</v>
      </c>
    </row>
    <row r="22" spans="1:22" ht="17.25" customHeight="1" x14ac:dyDescent="0.35">
      <c r="C22" s="96" t="s">
        <v>27</v>
      </c>
      <c r="D22" s="52" t="s">
        <v>81</v>
      </c>
      <c r="E22" s="210">
        <f>+$E$21*($D$6-$E$20/2)</f>
        <v>474.96169588428427</v>
      </c>
      <c r="G22" s="52" t="s">
        <v>90</v>
      </c>
      <c r="H22" s="211">
        <f>H21*(D3/2-D5)</f>
        <v>634.66666666666686</v>
      </c>
    </row>
    <row r="23" spans="1:22" ht="17.25" customHeight="1" x14ac:dyDescent="0.25">
      <c r="B23"/>
      <c r="C23"/>
      <c r="D23"/>
      <c r="E23"/>
      <c r="F23"/>
      <c r="G23"/>
      <c r="H23"/>
      <c r="I23"/>
      <c r="J23"/>
      <c r="K23" s="146"/>
      <c r="L23"/>
      <c r="M23"/>
      <c r="N23"/>
      <c r="O23"/>
      <c r="P23"/>
      <c r="Q23"/>
      <c r="R23"/>
      <c r="S23"/>
      <c r="T23"/>
      <c r="V23" s="283"/>
    </row>
    <row r="24" spans="1:22" ht="17.25" customHeight="1" x14ac:dyDescent="0.25">
      <c r="C24" s="96"/>
      <c r="D24" s="52"/>
      <c r="E24"/>
      <c r="G24" s="52"/>
      <c r="H24" s="212"/>
    </row>
    <row r="25" spans="1:22" x14ac:dyDescent="0.25">
      <c r="C25" s="3"/>
      <c r="D25"/>
      <c r="E25"/>
      <c r="G25" s="282"/>
    </row>
    <row r="26" spans="1:22" x14ac:dyDescent="0.25">
      <c r="A26" s="247" t="s">
        <v>91</v>
      </c>
      <c r="D26"/>
      <c r="E26"/>
    </row>
    <row r="27" spans="1:22" ht="19.5" thickBot="1" x14ac:dyDescent="0.4">
      <c r="C27" s="3" t="s">
        <v>92</v>
      </c>
      <c r="D27" s="93" t="s">
        <v>97</v>
      </c>
      <c r="E27" s="196">
        <v>500</v>
      </c>
      <c r="G27" s="52" t="s">
        <v>160</v>
      </c>
      <c r="H27" s="281">
        <f>$E$28/$E$33</f>
        <v>0.52</v>
      </c>
    </row>
    <row r="28" spans="1:22" ht="19.5" thickBot="1" x14ac:dyDescent="0.4">
      <c r="C28" s="3"/>
      <c r="D28" s="52" t="s">
        <v>98</v>
      </c>
      <c r="E28" s="197">
        <v>260</v>
      </c>
      <c r="G28" s="3" t="s">
        <v>132</v>
      </c>
      <c r="H28" s="129">
        <f>MAX(0.02,$D$3/20)</f>
        <v>0.02</v>
      </c>
      <c r="L28" s="135" t="s">
        <v>134</v>
      </c>
      <c r="M28" s="136"/>
      <c r="N28" s="137"/>
      <c r="O28" s="55"/>
      <c r="P28" s="55"/>
      <c r="Q28"/>
      <c r="R28"/>
      <c r="S28"/>
      <c r="T28"/>
    </row>
    <row r="29" spans="1:22" ht="19.5" thickBot="1" x14ac:dyDescent="0.4">
      <c r="C29" s="3" t="s">
        <v>93</v>
      </c>
      <c r="D29" s="52" t="s">
        <v>99</v>
      </c>
      <c r="E29" s="198">
        <v>1</v>
      </c>
      <c r="G29" s="3" t="s">
        <v>201</v>
      </c>
      <c r="H29" s="129">
        <f>MAX(H27,H28)</f>
        <v>0.52</v>
      </c>
      <c r="K29" s="146"/>
      <c r="L29" s="138" t="s">
        <v>136</v>
      </c>
      <c r="M29" s="169" t="s">
        <v>156</v>
      </c>
      <c r="N29" s="167">
        <f>D3/2-D5+H27</f>
        <v>0.69000000000000006</v>
      </c>
      <c r="O29" s="55" t="s">
        <v>149</v>
      </c>
      <c r="P29" s="55"/>
      <c r="Q29"/>
      <c r="R29"/>
      <c r="S29"/>
      <c r="T29"/>
    </row>
    <row r="30" spans="1:22" ht="19.5" thickBot="1" x14ac:dyDescent="0.4">
      <c r="B30"/>
      <c r="C30"/>
      <c r="D30"/>
      <c r="E30" s="55" t="s">
        <v>138</v>
      </c>
      <c r="G30" s="52" t="str">
        <f>IF(O32=1,"respecto arm. Inf. ","respecto arm. sup. ")&amp;IF(O32=1, "e1=","e2= ")</f>
        <v>respecto arm. Inf. e1=</v>
      </c>
      <c r="H30" s="129">
        <f>IF(O32=1,N29,N30)</f>
        <v>0.69000000000000006</v>
      </c>
      <c r="I30"/>
      <c r="J30"/>
      <c r="L30" s="139" t="s">
        <v>135</v>
      </c>
      <c r="M30" s="170" t="s">
        <v>157</v>
      </c>
      <c r="N30" s="168">
        <f>D3/2-D5-H27</f>
        <v>-0.35</v>
      </c>
      <c r="O30" s="55" t="s">
        <v>150</v>
      </c>
      <c r="P30" s="55"/>
      <c r="Q30"/>
      <c r="R30"/>
      <c r="S30"/>
      <c r="T30"/>
    </row>
    <row r="31" spans="1:22" ht="16.5" thickBot="1" x14ac:dyDescent="0.3">
      <c r="E31"/>
      <c r="L31" s="132" t="str">
        <f>MID(D32,SEARCH("_",D32)-8,8)</f>
        <v>Caso 1.a</v>
      </c>
      <c r="M31" s="121"/>
      <c r="N31" s="120" t="s">
        <v>137</v>
      </c>
      <c r="O31" s="55"/>
      <c r="P31" s="55"/>
      <c r="Q31"/>
      <c r="R31"/>
      <c r="S31"/>
      <c r="T31"/>
    </row>
    <row r="32" spans="1:22" ht="16.5" thickBot="1" x14ac:dyDescent="0.3">
      <c r="C32" s="3" t="s">
        <v>94</v>
      </c>
      <c r="D32" s="153" t="str">
        <f>IF(H27&gt;D3/2-D5,IF(AND(E34&gt;=E22,E20=N33),"FC con Md* &gt; Mlim   Caso 1.b_","FC con Md* &lt;  Mlim   Caso 1.a_"),IF(AND(E34&gt;=H22,N38=D3),"CC con Md* &gt; Mmax   Caso 2.b_","CC con Md* &lt; Mmax   Caso 2.a_"))</f>
        <v>FC con Md* &lt;  Mlim   Caso 1.a_</v>
      </c>
      <c r="E32" s="101"/>
      <c r="L32" s="213" t="str">
        <f>IF(H29&gt;(D3/2-D5),"FC"," CC peq excentr.")</f>
        <v>FC</v>
      </c>
      <c r="M32" s="280"/>
      <c r="N32" s="279">
        <f>IF(OR(L31="Caso 1.b",L31="Caso 1.a"), 1,2)</f>
        <v>1</v>
      </c>
      <c r="O32" s="119">
        <f>IF(L32="FC",1,2)</f>
        <v>1</v>
      </c>
      <c r="Q32"/>
      <c r="R32"/>
      <c r="S32"/>
      <c r="T32"/>
    </row>
    <row r="33" spans="1:21" ht="19.5" x14ac:dyDescent="0.35">
      <c r="C33" s="3" t="s">
        <v>95</v>
      </c>
      <c r="D33" s="52" t="s">
        <v>147</v>
      </c>
      <c r="E33" s="214">
        <f>E27*E29</f>
        <v>500</v>
      </c>
      <c r="L33" s="108"/>
      <c r="M33" s="116" t="s">
        <v>141</v>
      </c>
      <c r="N33" s="215">
        <f>IF(O32=1,IF(E34&gt;E22,E20,$D$6*(1-SQRT(1-((2*E34)/(G11*1000*D4*D6^2))))),0)</f>
        <v>0.11905891414232592</v>
      </c>
      <c r="O33" s="277"/>
      <c r="P33" s="123"/>
      <c r="R33"/>
      <c r="S33"/>
      <c r="T33"/>
    </row>
    <row r="34" spans="1:21" ht="19.5" x14ac:dyDescent="0.35">
      <c r="C34" s="3" t="s">
        <v>96</v>
      </c>
      <c r="D34" s="52" t="s">
        <v>133</v>
      </c>
      <c r="E34" s="214">
        <f>$E$33*$H$30</f>
        <v>345.00000000000006</v>
      </c>
      <c r="J34"/>
      <c r="K34" s="276" t="s">
        <v>193</v>
      </c>
      <c r="L34" s="109"/>
      <c r="M34" s="117" t="s">
        <v>142</v>
      </c>
      <c r="N34" s="216">
        <f>IF(O32=1,N33*D4*G11*1000,0)</f>
        <v>1111.216531995042</v>
      </c>
      <c r="O34" s="102"/>
      <c r="P34" s="125"/>
      <c r="R34"/>
      <c r="S34"/>
      <c r="T34"/>
    </row>
    <row r="35" spans="1:21" x14ac:dyDescent="0.25">
      <c r="B35"/>
      <c r="C35"/>
      <c r="D35"/>
      <c r="E35"/>
      <c r="F35"/>
      <c r="G35"/>
      <c r="H35"/>
      <c r="I35"/>
      <c r="J35"/>
      <c r="L35" s="110" t="str">
        <f>+L29</f>
        <v>FC</v>
      </c>
      <c r="M35" s="117"/>
      <c r="N35" s="217"/>
      <c r="O35" s="102"/>
      <c r="P35" s="127"/>
      <c r="R35"/>
      <c r="S35"/>
      <c r="T35"/>
    </row>
    <row r="36" spans="1:21" ht="18" x14ac:dyDescent="0.35">
      <c r="D36" s="92"/>
      <c r="H36"/>
      <c r="J36"/>
      <c r="K36" s="276" t="s">
        <v>194</v>
      </c>
      <c r="L36" s="111"/>
      <c r="M36" s="117" t="s">
        <v>145</v>
      </c>
      <c r="N36" s="218">
        <f>IF(O32=2,0,IF(E34&lt;E22,0,(E34-E22)/(D6-D5)))</f>
        <v>0</v>
      </c>
      <c r="O36" s="102" t="s">
        <v>140</v>
      </c>
      <c r="P36" s="172">
        <f>N36/($G$13)*10</f>
        <v>0</v>
      </c>
      <c r="R36"/>
      <c r="S36"/>
      <c r="T36"/>
    </row>
    <row r="37" spans="1:21" ht="19.5" thickBot="1" x14ac:dyDescent="0.4">
      <c r="A37" s="247" t="s">
        <v>102</v>
      </c>
      <c r="C37" s="3" t="s">
        <v>103</v>
      </c>
      <c r="E37" s="3" t="s">
        <v>104</v>
      </c>
      <c r="F37" s="3" t="s">
        <v>112</v>
      </c>
      <c r="G37" s="164">
        <f>IF($O$32=1,P36,IF(P41&lt;0,0,P41))</f>
        <v>0</v>
      </c>
      <c r="H37"/>
      <c r="J37"/>
      <c r="K37" s="276"/>
      <c r="L37" s="112"/>
      <c r="M37" s="118" t="s">
        <v>143</v>
      </c>
      <c r="N37" s="219">
        <f>IF(O32=2,0,G11*N33*D4*1000-E33+N36)</f>
        <v>611.21653199504203</v>
      </c>
      <c r="O37" s="103" t="s">
        <v>273</v>
      </c>
      <c r="P37" s="278">
        <f>IF(N37&lt;0,0,N37/(G12)*10)</f>
        <v>14.057980235885967</v>
      </c>
      <c r="R37"/>
      <c r="S37"/>
      <c r="T37"/>
    </row>
    <row r="38" spans="1:21" ht="18.75" x14ac:dyDescent="0.35">
      <c r="E38" s="3" t="s">
        <v>105</v>
      </c>
      <c r="F38" s="3" t="s">
        <v>113</v>
      </c>
      <c r="G38" s="164">
        <f>IF($O$32=1,P37,IF(P42&lt;0,0,P42))</f>
        <v>14.057980235885967</v>
      </c>
      <c r="H38"/>
      <c r="J38"/>
      <c r="K38" s="276"/>
      <c r="L38" s="113"/>
      <c r="M38" s="116" t="s">
        <v>141</v>
      </c>
      <c r="N38" s="215">
        <f>IF(O32=2,IF(E34&gt;=H22,D3,D5+(SQRT(D5^2+((2*E34)/(G11*100*D4))))),0)</f>
        <v>0</v>
      </c>
      <c r="O38" s="277"/>
      <c r="P38" s="148"/>
      <c r="R38"/>
      <c r="S38"/>
      <c r="T38"/>
    </row>
    <row r="39" spans="1:21" ht="18.75" x14ac:dyDescent="0.35">
      <c r="D39" s="3" t="s">
        <v>106</v>
      </c>
      <c r="E39" s="3" t="s">
        <v>107</v>
      </c>
      <c r="F39" s="3" t="s">
        <v>111</v>
      </c>
      <c r="G39" s="220">
        <f>0.05*E33/4</f>
        <v>6.25</v>
      </c>
      <c r="J39"/>
      <c r="K39" s="276" t="s">
        <v>195</v>
      </c>
      <c r="L39" s="111"/>
      <c r="M39" s="117" t="s">
        <v>142</v>
      </c>
      <c r="N39" s="216">
        <f>D4*N38*G11*1000</f>
        <v>0</v>
      </c>
      <c r="O39" s="102"/>
      <c r="P39" s="149"/>
      <c r="R39"/>
      <c r="S39"/>
      <c r="T39"/>
    </row>
    <row r="40" spans="1:21" ht="18.75" x14ac:dyDescent="0.35">
      <c r="E40" s="3"/>
      <c r="F40" s="3" t="s">
        <v>109</v>
      </c>
      <c r="G40" s="220">
        <f>IF(O32=1,0.04*D4*D3*G11/G12*10000,G39)</f>
        <v>3.4346666666666672</v>
      </c>
      <c r="L40" s="114" t="s">
        <v>146</v>
      </c>
      <c r="M40" s="117"/>
      <c r="N40" s="216"/>
      <c r="O40" s="102"/>
      <c r="P40" s="150"/>
      <c r="R40"/>
      <c r="S40"/>
      <c r="T40"/>
    </row>
    <row r="41" spans="1:21" ht="18" customHeight="1" x14ac:dyDescent="0.35">
      <c r="E41" s="3" t="s">
        <v>108</v>
      </c>
      <c r="F41" s="3" t="s">
        <v>110</v>
      </c>
      <c r="G41" s="166">
        <f>40*D4*D3</f>
        <v>6.4</v>
      </c>
      <c r="K41" s="275" t="s">
        <v>196</v>
      </c>
      <c r="L41" s="109"/>
      <c r="M41" s="117" t="s">
        <v>145</v>
      </c>
      <c r="N41" s="218">
        <f>IF(O32=1,0,E33-N39-N42)</f>
        <v>0</v>
      </c>
      <c r="O41" s="102" t="s">
        <v>140</v>
      </c>
      <c r="P41" s="274">
        <f>N41/($G$13)*10</f>
        <v>0</v>
      </c>
      <c r="R41"/>
      <c r="S41"/>
      <c r="T41"/>
    </row>
    <row r="42" spans="1:21" ht="18.75" thickBot="1" x14ac:dyDescent="0.4">
      <c r="E42" s="3"/>
      <c r="K42" s="146"/>
      <c r="L42" s="115"/>
      <c r="M42" s="118" t="s">
        <v>143</v>
      </c>
      <c r="N42" s="219">
        <f>IF(O32=1,0,IF(E34&lt;H22,0,(E34-H22)/(D6-D5)))</f>
        <v>0</v>
      </c>
      <c r="O42" s="103" t="s">
        <v>144</v>
      </c>
      <c r="P42" s="273">
        <f>N42/(G13)*10</f>
        <v>0</v>
      </c>
      <c r="R42"/>
      <c r="S42"/>
      <c r="T42"/>
    </row>
    <row r="43" spans="1:21" x14ac:dyDescent="0.25">
      <c r="B43" s="3" t="s">
        <v>114</v>
      </c>
      <c r="C43" s="55" t="s">
        <v>115</v>
      </c>
      <c r="K43" s="147"/>
      <c r="L43" s="54"/>
      <c r="N43" s="3"/>
    </row>
    <row r="44" spans="1:21" x14ac:dyDescent="0.25">
      <c r="K44" s="147"/>
      <c r="L44" s="54"/>
      <c r="N44" s="3"/>
      <c r="P44"/>
    </row>
    <row r="45" spans="1:21" x14ac:dyDescent="0.25">
      <c r="D45" s="49"/>
      <c r="E45" s="3"/>
      <c r="G45" s="55" t="s">
        <v>53</v>
      </c>
      <c r="H45" s="3"/>
      <c r="P45"/>
      <c r="U45" s="49"/>
    </row>
    <row r="46" spans="1:21" x14ac:dyDescent="0.25">
      <c r="C46" s="272" t="s">
        <v>116</v>
      </c>
      <c r="D46" s="199">
        <v>20</v>
      </c>
      <c r="E46" s="228" t="s">
        <v>117</v>
      </c>
      <c r="F46" s="228" t="s">
        <v>32</v>
      </c>
      <c r="G46" s="228" t="s">
        <v>148</v>
      </c>
      <c r="H46" s="3"/>
      <c r="P46"/>
      <c r="U46" s="49"/>
    </row>
    <row r="47" spans="1:21" ht="16.5" customHeight="1" x14ac:dyDescent="0.25">
      <c r="D47" s="52" t="s">
        <v>152</v>
      </c>
      <c r="E47" s="200">
        <v>5</v>
      </c>
      <c r="F47" s="221">
        <f>E47*PI()*(D46/20)^2</f>
        <v>15.707963267948966</v>
      </c>
      <c r="G47" s="55" t="str">
        <f>IF($F$47&gt;MAX($G$41/2,$G$41,G39,G37),"OK","No valido")</f>
        <v>OK</v>
      </c>
      <c r="P47"/>
      <c r="U47" s="49"/>
    </row>
    <row r="48" spans="1:21" ht="16.5" customHeight="1" x14ac:dyDescent="0.25">
      <c r="D48" s="52" t="s">
        <v>151</v>
      </c>
      <c r="E48" s="200">
        <v>5</v>
      </c>
      <c r="F48" s="221">
        <f>E48*PI()*(D46/20)^2</f>
        <v>15.707963267948966</v>
      </c>
      <c r="G48" s="55" t="str">
        <f>IF($F$48&gt;MAX($G$41/2,$G$41,G40,G38),"OK","No valido")</f>
        <v>OK</v>
      </c>
      <c r="P48"/>
      <c r="U48" s="49"/>
    </row>
    <row r="49" spans="7:16" x14ac:dyDescent="0.25">
      <c r="O49" s="49" t="s">
        <v>201</v>
      </c>
      <c r="P49"/>
    </row>
    <row r="50" spans="7:16" x14ac:dyDescent="0.25">
      <c r="G50" s="55"/>
    </row>
    <row r="51" spans="7:16" x14ac:dyDescent="0.25">
      <c r="G51" s="55"/>
      <c r="M51" s="49" t="s">
        <v>53</v>
      </c>
    </row>
  </sheetData>
  <sheetProtection selectLockedCells="1"/>
  <dataConsolidate/>
  <phoneticPr fontId="17" type="noConversion"/>
  <conditionalFormatting sqref="M33:P37">
    <cfRule type="expression" dxfId="30" priority="2">
      <formula>$N$32=2</formula>
    </cfRule>
  </conditionalFormatting>
  <conditionalFormatting sqref="M38:P42">
    <cfRule type="expression" dxfId="29" priority="1">
      <formula>$N$32=1</formula>
    </cfRule>
  </conditionalFormatting>
  <conditionalFormatting sqref="G50:G51">
    <cfRule type="cellIs" dxfId="28" priority="10" operator="equal">
      <formula>"no valido"</formula>
    </cfRule>
    <cfRule type="cellIs" dxfId="27" priority="11" operator="equal">
      <formula>"OK"</formula>
    </cfRule>
  </conditionalFormatting>
  <conditionalFormatting sqref="G40">
    <cfRule type="expression" dxfId="26" priority="9">
      <formula>AND($E$42="Elemento mal seleccionado")</formula>
    </cfRule>
  </conditionalFormatting>
  <conditionalFormatting sqref="G47:G48">
    <cfRule type="cellIs" dxfId="25" priority="7" operator="equal">
      <formula>"no valido"</formula>
    </cfRule>
    <cfRule type="cellIs" dxfId="24" priority="8" operator="equal">
      <formula>"OK"</formula>
    </cfRule>
  </conditionalFormatting>
  <conditionalFormatting sqref="D32">
    <cfRule type="cellIs" dxfId="23" priority="3" operator="equal">
      <formula>"FC con Md* &lt;  Mlim   Caso 1.a_"</formula>
    </cfRule>
    <cfRule type="cellIs" dxfId="22" priority="4" operator="equal">
      <formula>"FC con Md* &gt; Mlim   Caso 1.b_"</formula>
    </cfRule>
    <cfRule type="cellIs" dxfId="21" priority="5" operator="equal">
      <formula>"CC con Md* &lt; Mmax   Caso 2.a_"</formula>
    </cfRule>
    <cfRule type="cellIs" dxfId="20" priority="6" operator="equal">
      <formula>"CC con Md* &gt; Mmax   Caso 2.b_"</formula>
    </cfRule>
  </conditionalFormatting>
  <dataValidations disablePrompts="1" count="3">
    <dataValidation type="list" allowBlank="1" showInputMessage="1" showErrorMessage="1" sqref="D46" xr:uid="{8F6927C7-E146-4C67-8D30-14558CFFB6E3}">
      <formula1>Diámetros</formula1>
    </dataValidation>
    <dataValidation type="decimal" operator="greaterThanOrEqual" allowBlank="1" showInputMessage="1" showErrorMessage="1" sqref="E27 E29" xr:uid="{DC3C6D1D-591B-46FA-A436-0687A76E5E3F}">
      <formula1>0</formula1>
    </dataValidation>
    <dataValidation operator="greaterThanOrEqual" allowBlank="1" showInputMessage="1" showErrorMessage="1" sqref="E28" xr:uid="{EEF9B5E4-7970-481A-8D74-7156DDC84706}"/>
  </dataValidations>
  <pageMargins left="0.25" right="0.25" top="0.75" bottom="0.75" header="0.3" footer="0.3"/>
  <pageSetup paperSize="9" scale="8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27" r:id="rId4" name="Button 55">
              <controlPr defaultSize="0" print="0" autoFill="0" autoPict="0" macro="[0]!BuscarMom">
                <anchor moveWithCells="1" sizeWithCells="1">
                  <from>
                    <xdr:col>10</xdr:col>
                    <xdr:colOff>790575</xdr:colOff>
                    <xdr:row>22</xdr:row>
                    <xdr:rowOff>142875</xdr:rowOff>
                  </from>
                  <to>
                    <xdr:col>14</xdr:col>
                    <xdr:colOff>0</xdr:colOff>
                    <xdr:row>26</xdr:row>
                    <xdr:rowOff>9525</xdr:rowOff>
                  </to>
                </anchor>
              </controlPr>
            </control>
          </mc:Choice>
        </mc:AlternateContent>
        <mc:AlternateContent xmlns:mc="http://schemas.openxmlformats.org/markup-compatibility/2006">
          <mc:Choice Requires="x14">
            <control shapeId="3128" r:id="rId5" name="Button 56">
              <controlPr defaultSize="0" print="0" autoFill="0" autoPict="0" macro="[0]!NumBarras">
                <anchor moveWithCells="1" sizeWithCells="1">
                  <from>
                    <xdr:col>4</xdr:col>
                    <xdr:colOff>19050</xdr:colOff>
                    <xdr:row>48</xdr:row>
                    <xdr:rowOff>114300</xdr:rowOff>
                  </from>
                  <to>
                    <xdr:col>5</xdr:col>
                    <xdr:colOff>590550</xdr:colOff>
                    <xdr:row>50</xdr:row>
                    <xdr:rowOff>190500</xdr:rowOff>
                  </to>
                </anchor>
              </controlPr>
            </control>
          </mc:Choice>
        </mc:AlternateContent>
        <mc:AlternateContent xmlns:mc="http://schemas.openxmlformats.org/markup-compatibility/2006">
          <mc:Choice Requires="x14">
            <control shapeId="3139" r:id="rId6" name="Button 67">
              <controlPr defaultSize="0" print="0" autoFill="0" autoPict="0" macro="[0]!Borrar.Borrar">
                <anchor moveWithCells="1" sizeWithCells="1">
                  <from>
                    <xdr:col>19</xdr:col>
                    <xdr:colOff>38100</xdr:colOff>
                    <xdr:row>0</xdr:row>
                    <xdr:rowOff>47625</xdr:rowOff>
                  </from>
                  <to>
                    <xdr:col>20</xdr:col>
                    <xdr:colOff>447675</xdr:colOff>
                    <xdr:row>1</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68B1D8EB-2E49-4053-A88A-6B5DA78200AE}">
          <x14:formula1>
            <xm:f>'Tablas EHE'!$A$2:$A$7</xm:f>
          </x14:formula1>
          <xm:sqref>D9</xm:sqref>
        </x14:dataValidation>
        <x14:dataValidation type="list" allowBlank="1" showInputMessage="1" showErrorMessage="1" xr:uid="{A3ADD076-8BD1-44A6-AC43-79583066B07F}">
          <x14:formula1>
            <xm:f>'Tablas EHE'!$D$2:$D$3</xm:f>
          </x14:formula1>
          <xm:sqref>D10</xm:sqref>
        </x14:dataValidation>
        <x14:dataValidation type="list" allowBlank="1" showInputMessage="1" showErrorMessage="1" xr:uid="{9734250C-15BF-4958-A154-F4127BE1679D}">
          <x14:formula1>
            <xm:f>'Tablas EHE'!$G$3:$G$4</xm:f>
          </x14:formula1>
          <xm:sqref>D11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DA7496-187E-434A-8790-2F32BC8D6837}">
  <sheetPr codeName="Hoja5"/>
  <dimension ref="A1:X54"/>
  <sheetViews>
    <sheetView showGridLines="0" topLeftCell="A12" zoomScaleNormal="100" zoomScaleSheetLayoutView="70" workbookViewId="0">
      <selection activeCell="A4" sqref="A4"/>
    </sheetView>
  </sheetViews>
  <sheetFormatPr defaultColWidth="11.42578125" defaultRowHeight="15.75" x14ac:dyDescent="0.25"/>
  <cols>
    <col min="1" max="1" width="16.28515625" style="389" customWidth="1"/>
    <col min="2" max="2" width="14" style="54" customWidth="1"/>
    <col min="3" max="3" width="6.42578125" style="49" customWidth="1"/>
    <col min="4" max="4" width="18.28515625" style="3" customWidth="1"/>
    <col min="5" max="5" width="17.28515625" style="55" customWidth="1"/>
    <col min="6" max="6" width="19" style="55" customWidth="1"/>
    <col min="7" max="7" width="17" style="3" customWidth="1"/>
    <col min="8" max="8" width="9.85546875" style="49" customWidth="1"/>
    <col min="9" max="9" width="26.42578125" style="49" bestFit="1" customWidth="1"/>
    <col min="10" max="12" width="12.7109375" customWidth="1"/>
    <col min="13" max="13" width="8.5703125" style="49" customWidth="1"/>
    <col min="14" max="14" width="12" style="75" customWidth="1"/>
    <col min="15" max="15" width="13.42578125" style="55" customWidth="1"/>
    <col min="16" max="16" width="7.28515625" style="49" customWidth="1"/>
    <col min="17" max="17" width="12.7109375" style="49" customWidth="1"/>
    <col min="18" max="18" width="7" style="49" customWidth="1"/>
    <col min="19" max="19" width="12.28515625" style="49" customWidth="1"/>
    <col min="20" max="20" width="4.5703125" style="3" customWidth="1"/>
    <col min="21" max="21" width="4.28515625" style="49" customWidth="1"/>
    <col min="22" max="22" width="11.85546875" style="49" customWidth="1"/>
    <col min="23" max="23" width="11.42578125" style="49"/>
    <col min="24" max="24" width="8.140625" bestFit="1" customWidth="1"/>
  </cols>
  <sheetData>
    <row r="1" spans="1:23" x14ac:dyDescent="0.25">
      <c r="A1" s="389" t="s">
        <v>197</v>
      </c>
      <c r="F1" s="3"/>
      <c r="G1" s="58" t="s">
        <v>37</v>
      </c>
      <c r="P1" s="92"/>
    </row>
    <row r="2" spans="1:23" ht="18.75" x14ac:dyDescent="0.35">
      <c r="A2" s="389" t="s">
        <v>80</v>
      </c>
      <c r="F2" s="3" t="s">
        <v>118</v>
      </c>
      <c r="G2" s="95">
        <v>200000</v>
      </c>
      <c r="O2" s="100"/>
    </row>
    <row r="3" spans="1:23" x14ac:dyDescent="0.25">
      <c r="B3"/>
      <c r="E3"/>
      <c r="F3"/>
      <c r="G3"/>
      <c r="H3"/>
      <c r="I3"/>
      <c r="M3"/>
      <c r="N3"/>
      <c r="O3"/>
      <c r="P3"/>
      <c r="Q3"/>
      <c r="R3"/>
      <c r="S3"/>
      <c r="T3"/>
      <c r="U3"/>
      <c r="V3"/>
      <c r="W3"/>
    </row>
    <row r="4" spans="1:23" x14ac:dyDescent="0.25">
      <c r="C4" s="3" t="s">
        <v>75</v>
      </c>
      <c r="D4" s="57">
        <v>0.4</v>
      </c>
      <c r="F4" s="3" t="s">
        <v>168</v>
      </c>
      <c r="G4" s="177">
        <v>10</v>
      </c>
      <c r="I4" s="61" t="s">
        <v>189</v>
      </c>
      <c r="Q4"/>
      <c r="R4"/>
      <c r="S4"/>
      <c r="T4" s="1"/>
      <c r="U4"/>
      <c r="V4"/>
      <c r="W4"/>
    </row>
    <row r="5" spans="1:23" x14ac:dyDescent="0.25">
      <c r="C5" s="3" t="s">
        <v>76</v>
      </c>
      <c r="D5" s="57">
        <v>0.4</v>
      </c>
      <c r="F5" s="3" t="s">
        <v>198</v>
      </c>
      <c r="G5" s="182">
        <f>INDEX('Tablas EHE'!B12:B15,MATCH('Elementos esbeltos'!I5,'Tablas EHE'!A12:A15,0))</f>
        <v>1.5</v>
      </c>
      <c r="I5" s="89" t="s">
        <v>179</v>
      </c>
      <c r="Q5"/>
      <c r="R5"/>
      <c r="S5"/>
      <c r="T5" s="1"/>
      <c r="U5"/>
      <c r="V5"/>
      <c r="W5"/>
    </row>
    <row r="6" spans="1:23" ht="16.5" customHeight="1" x14ac:dyDescent="0.25">
      <c r="C6" s="1" t="s">
        <v>181</v>
      </c>
      <c r="D6" s="225">
        <f>D4*D5^3/12</f>
        <v>2.1333333333333339E-3</v>
      </c>
      <c r="F6" s="3"/>
      <c r="G6"/>
      <c r="I6" s="55"/>
      <c r="K6" t="s">
        <v>169</v>
      </c>
      <c r="L6" t="s">
        <v>172</v>
      </c>
      <c r="M6"/>
      <c r="S6" s="75"/>
      <c r="T6" s="1"/>
      <c r="U6"/>
      <c r="V6"/>
      <c r="W6"/>
    </row>
    <row r="7" spans="1:23" ht="16.5" customHeight="1" x14ac:dyDescent="0.35">
      <c r="C7" s="1" t="s">
        <v>166</v>
      </c>
      <c r="D7" s="62">
        <f>SQRT(D6/(D4*D5))</f>
        <v>0.11547005383792516</v>
      </c>
      <c r="F7" s="3" t="s">
        <v>161</v>
      </c>
      <c r="G7" s="183">
        <f>G4*INDEX('Tablas EHE'!B19:B23,MATCH(I7,'Tablas EHE'!A19:A23,0))</f>
        <v>10</v>
      </c>
      <c r="I7" s="89" t="s">
        <v>183</v>
      </c>
      <c r="K7" t="s">
        <v>170</v>
      </c>
      <c r="L7" t="s">
        <v>173</v>
      </c>
      <c r="M7"/>
      <c r="S7" s="75"/>
    </row>
    <row r="8" spans="1:23" x14ac:dyDescent="0.25">
      <c r="B8"/>
      <c r="C8" s="3" t="s">
        <v>77</v>
      </c>
      <c r="D8" s="57">
        <v>0.03</v>
      </c>
      <c r="E8" s="1"/>
      <c r="F8" s="55" t="s">
        <v>165</v>
      </c>
      <c r="G8" s="181">
        <f>G7/D7</f>
        <v>86.602540378443862</v>
      </c>
      <c r="H8" s="184"/>
      <c r="I8"/>
      <c r="K8" t="s">
        <v>171</v>
      </c>
      <c r="L8" t="s">
        <v>174</v>
      </c>
      <c r="M8"/>
      <c r="R8"/>
      <c r="S8"/>
      <c r="T8"/>
      <c r="U8"/>
      <c r="V8"/>
      <c r="W8"/>
    </row>
    <row r="9" spans="1:23" x14ac:dyDescent="0.25">
      <c r="B9"/>
      <c r="C9" s="3" t="s">
        <v>78</v>
      </c>
      <c r="D9" s="62">
        <f>+$D$4-$D$8</f>
        <v>0.37</v>
      </c>
      <c r="E9"/>
      <c r="F9" s="1"/>
      <c r="G9"/>
      <c r="H9"/>
      <c r="I9"/>
      <c r="L9" t="s">
        <v>53</v>
      </c>
      <c r="M9"/>
      <c r="N9"/>
      <c r="O9"/>
      <c r="P9"/>
      <c r="Q9"/>
      <c r="R9"/>
      <c r="S9"/>
      <c r="T9"/>
      <c r="U9"/>
      <c r="V9"/>
      <c r="W9"/>
    </row>
    <row r="10" spans="1:23" ht="18.75" x14ac:dyDescent="0.35">
      <c r="A10" s="389" t="s">
        <v>79</v>
      </c>
      <c r="B10" s="59"/>
      <c r="C10"/>
      <c r="D10"/>
      <c r="F10" s="3"/>
      <c r="G10" s="3" t="s">
        <v>56</v>
      </c>
      <c r="H10" s="185">
        <v>3.5</v>
      </c>
      <c r="I10"/>
      <c r="N10" s="146"/>
      <c r="O10"/>
    </row>
    <row r="11" spans="1:23" ht="18.75" x14ac:dyDescent="0.35">
      <c r="B11" s="59"/>
      <c r="F11" s="3"/>
      <c r="G11" s="3" t="s">
        <v>17</v>
      </c>
      <c r="H11" s="186">
        <f>+$G$15/$G$2*1000</f>
        <v>2.1739130434782608</v>
      </c>
      <c r="I11"/>
      <c r="N11"/>
      <c r="O11"/>
      <c r="P11"/>
      <c r="Q11"/>
      <c r="R11"/>
      <c r="S11"/>
      <c r="T11"/>
      <c r="U11"/>
      <c r="V11"/>
      <c r="W11"/>
    </row>
    <row r="12" spans="1:23" ht="18.75" x14ac:dyDescent="0.35">
      <c r="B12" s="56"/>
      <c r="C12" s="52" t="s">
        <v>7</v>
      </c>
      <c r="D12" s="64" t="s">
        <v>11</v>
      </c>
      <c r="F12" s="3" t="s">
        <v>85</v>
      </c>
      <c r="G12" s="160">
        <f>INDEX('Tablas EHE'!$B$2:$B$7,MATCH($D$12,'Tablas EHE'!$A$2:$A$7,0))</f>
        <v>35</v>
      </c>
      <c r="H12"/>
      <c r="N12"/>
      <c r="O12"/>
      <c r="P12"/>
      <c r="Q12"/>
      <c r="R12"/>
      <c r="S12"/>
      <c r="T12"/>
      <c r="U12"/>
      <c r="V12"/>
      <c r="W12"/>
    </row>
    <row r="13" spans="1:23" ht="18.75" x14ac:dyDescent="0.35">
      <c r="B13" s="59"/>
      <c r="C13" s="52" t="s">
        <v>199</v>
      </c>
      <c r="D13" s="64" t="s">
        <v>15</v>
      </c>
      <c r="F13" s="3" t="s">
        <v>66</v>
      </c>
      <c r="G13" s="161">
        <f>IF($D$13="B500S",'Tablas EHE'!$E$3,'Tablas EHE'!$E$2)</f>
        <v>500</v>
      </c>
      <c r="H13"/>
      <c r="N13"/>
      <c r="O13"/>
      <c r="P13"/>
      <c r="Q13"/>
      <c r="R13"/>
      <c r="S13"/>
      <c r="T13"/>
      <c r="U13"/>
      <c r="V13"/>
      <c r="W13"/>
    </row>
    <row r="14" spans="1:23" ht="18.75" x14ac:dyDescent="0.35">
      <c r="B14" s="56"/>
      <c r="C14" s="3" t="s">
        <v>18</v>
      </c>
      <c r="D14" s="64" t="s">
        <v>19</v>
      </c>
      <c r="F14" s="3" t="s">
        <v>86</v>
      </c>
      <c r="G14" s="162">
        <f>$G$12/$D$15</f>
        <v>23.333333333333332</v>
      </c>
      <c r="H14"/>
      <c r="N14"/>
      <c r="O14"/>
      <c r="P14"/>
      <c r="Q14"/>
      <c r="R14"/>
      <c r="S14"/>
      <c r="T14"/>
      <c r="U14"/>
      <c r="V14"/>
      <c r="W14"/>
    </row>
    <row r="15" spans="1:23" ht="18.75" x14ac:dyDescent="0.35">
      <c r="C15" s="3" t="s">
        <v>67</v>
      </c>
      <c r="D15" s="145">
        <f>INDEX('Tablas EHE'!H3:H4,MATCH($D$14,'Tablas EHE'!$G$3:$G$4,0))</f>
        <v>1.5</v>
      </c>
      <c r="F15" s="3" t="s">
        <v>87</v>
      </c>
      <c r="G15" s="162">
        <f>+$G$13/$D$16</f>
        <v>434.78260869565219</v>
      </c>
      <c r="H15"/>
      <c r="N15"/>
      <c r="O15"/>
      <c r="P15"/>
      <c r="Q15"/>
      <c r="R15"/>
      <c r="S15"/>
      <c r="T15"/>
      <c r="U15"/>
      <c r="V15"/>
      <c r="W15"/>
    </row>
    <row r="16" spans="1:23" ht="18.75" x14ac:dyDescent="0.35">
      <c r="C16" s="3" t="s">
        <v>68</v>
      </c>
      <c r="D16" s="145">
        <f>INDEX('Tablas EHE'!I3:I4,MATCH($D$14,'Tablas EHE'!$G$3:$G$4,0))</f>
        <v>1.1499999999999999</v>
      </c>
      <c r="F16" s="3" t="s">
        <v>131</v>
      </c>
      <c r="G16" s="162">
        <f>MIN(G15,400)</f>
        <v>400</v>
      </c>
      <c r="H16"/>
      <c r="N16"/>
      <c r="O16"/>
      <c r="P16"/>
      <c r="Q16"/>
      <c r="R16"/>
      <c r="S16"/>
      <c r="T16"/>
      <c r="U16"/>
      <c r="V16"/>
      <c r="W16"/>
    </row>
    <row r="17" spans="1:23" x14ac:dyDescent="0.25">
      <c r="H17"/>
      <c r="N17"/>
      <c r="O17"/>
      <c r="P17"/>
      <c r="Q17"/>
      <c r="R17"/>
      <c r="S17"/>
      <c r="T17"/>
      <c r="U17"/>
      <c r="V17"/>
      <c r="W17"/>
    </row>
    <row r="18" spans="1:23" hidden="1" x14ac:dyDescent="0.25">
      <c r="N18"/>
      <c r="O18"/>
      <c r="P18"/>
      <c r="Q18"/>
      <c r="R18"/>
      <c r="S18"/>
      <c r="T18"/>
      <c r="U18"/>
      <c r="V18"/>
      <c r="W18"/>
    </row>
    <row r="19" spans="1:23" hidden="1" x14ac:dyDescent="0.25">
      <c r="F19" s="49"/>
      <c r="N19"/>
      <c r="O19"/>
      <c r="P19"/>
      <c r="Q19"/>
      <c r="R19"/>
      <c r="S19"/>
      <c r="T19"/>
      <c r="U19"/>
      <c r="V19"/>
      <c r="W19"/>
    </row>
    <row r="20" spans="1:23" hidden="1" x14ac:dyDescent="0.25">
      <c r="A20" s="389" t="s">
        <v>84</v>
      </c>
      <c r="N20"/>
      <c r="O20"/>
      <c r="P20"/>
      <c r="Q20"/>
      <c r="R20"/>
      <c r="S20"/>
      <c r="T20"/>
      <c r="U20"/>
      <c r="V20"/>
      <c r="W20"/>
    </row>
    <row r="21" spans="1:23" ht="18.75" hidden="1" customHeight="1" x14ac:dyDescent="0.35">
      <c r="C21" s="50" t="s">
        <v>130</v>
      </c>
      <c r="D21" s="52" t="s">
        <v>83</v>
      </c>
      <c r="E21" s="98">
        <f>+$H$10*D9/($H$10+$H$11)</f>
        <v>0.2282375478927203</v>
      </c>
      <c r="H21" s="175"/>
      <c r="N21"/>
      <c r="O21"/>
      <c r="P21"/>
      <c r="Q21"/>
      <c r="R21"/>
      <c r="S21"/>
      <c r="T21"/>
      <c r="U21"/>
      <c r="V21"/>
      <c r="W21"/>
    </row>
    <row r="22" spans="1:23" ht="9.75" hidden="1" customHeight="1" x14ac:dyDescent="0.25">
      <c r="B22"/>
      <c r="C22"/>
      <c r="D22"/>
      <c r="E22"/>
      <c r="F22"/>
      <c r="G22"/>
      <c r="H22" s="176"/>
      <c r="N22"/>
      <c r="O22"/>
      <c r="P22"/>
      <c r="Q22"/>
      <c r="R22"/>
      <c r="S22"/>
      <c r="T22"/>
      <c r="U22"/>
      <c r="V22"/>
      <c r="W22"/>
    </row>
    <row r="23" spans="1:23" ht="17.25" hidden="1" customHeight="1" x14ac:dyDescent="0.35">
      <c r="D23" s="52" t="s">
        <v>69</v>
      </c>
      <c r="E23" s="77">
        <f>0.8*$E$21</f>
        <v>0.18259003831417625</v>
      </c>
      <c r="G23" s="52" t="s">
        <v>88</v>
      </c>
      <c r="H23" s="175"/>
      <c r="N23"/>
      <c r="O23"/>
      <c r="P23"/>
      <c r="Q23"/>
      <c r="R23"/>
      <c r="S23"/>
      <c r="T23"/>
      <c r="U23"/>
      <c r="V23"/>
      <c r="W23"/>
    </row>
    <row r="24" spans="1:23" ht="17.25" hidden="1" customHeight="1" x14ac:dyDescent="0.35">
      <c r="C24" s="50" t="s">
        <v>26</v>
      </c>
      <c r="D24" s="52" t="s">
        <v>64</v>
      </c>
      <c r="E24" s="97">
        <f>0.8*$E$21*$D$5*$G$14*1000</f>
        <v>1704.1736909323115</v>
      </c>
      <c r="F24" s="52" t="s">
        <v>89</v>
      </c>
      <c r="G24" s="163">
        <f>D5*D4*G14*1000</f>
        <v>3733.3333333333339</v>
      </c>
      <c r="H24" s="175"/>
      <c r="N24"/>
      <c r="O24"/>
      <c r="P24"/>
      <c r="Q24"/>
      <c r="R24"/>
      <c r="S24"/>
      <c r="T24"/>
      <c r="U24"/>
      <c r="V24"/>
      <c r="W24"/>
    </row>
    <row r="25" spans="1:23" ht="17.25" hidden="1" customHeight="1" x14ac:dyDescent="0.35">
      <c r="C25" s="96" t="s">
        <v>27</v>
      </c>
      <c r="D25" s="52" t="s">
        <v>81</v>
      </c>
      <c r="E25" s="97">
        <f>+$E$24*($D$9-$E$23/2)</f>
        <v>474.96169588428427</v>
      </c>
      <c r="F25" s="52" t="s">
        <v>90</v>
      </c>
      <c r="G25" s="163">
        <f>G24*(D4/2-D8)</f>
        <v>634.66666666666686</v>
      </c>
      <c r="H25" s="175"/>
      <c r="N25"/>
      <c r="O25"/>
      <c r="P25"/>
      <c r="Q25"/>
      <c r="R25"/>
      <c r="S25"/>
      <c r="T25"/>
      <c r="U25"/>
      <c r="V25"/>
      <c r="W25"/>
    </row>
    <row r="26" spans="1:23" ht="17.25" hidden="1" customHeight="1" x14ac:dyDescent="0.25">
      <c r="B26"/>
      <c r="C26"/>
      <c r="D26"/>
      <c r="E26"/>
      <c r="F26"/>
      <c r="G26"/>
      <c r="H26" s="176"/>
      <c r="M26"/>
      <c r="N26"/>
      <c r="O26"/>
      <c r="P26"/>
      <c r="Q26"/>
      <c r="R26"/>
      <c r="S26"/>
      <c r="T26"/>
      <c r="U26"/>
      <c r="V26"/>
      <c r="W26"/>
    </row>
    <row r="27" spans="1:23" ht="17.25" hidden="1" customHeight="1" x14ac:dyDescent="0.25">
      <c r="C27" s="96"/>
      <c r="D27" s="52"/>
      <c r="E27"/>
      <c r="G27" s="52"/>
      <c r="H27" s="128"/>
      <c r="N27"/>
      <c r="O27"/>
      <c r="P27"/>
      <c r="Q27"/>
      <c r="R27"/>
      <c r="S27"/>
      <c r="T27"/>
      <c r="U27"/>
      <c r="V27"/>
      <c r="W27"/>
    </row>
    <row r="28" spans="1:23" hidden="1" x14ac:dyDescent="0.25">
      <c r="C28" s="3"/>
      <c r="D28"/>
      <c r="E28"/>
    </row>
    <row r="29" spans="1:23" x14ac:dyDescent="0.25">
      <c r="A29" s="389" t="s">
        <v>91</v>
      </c>
    </row>
    <row r="30" spans="1:23" ht="19.5" x14ac:dyDescent="0.35">
      <c r="C30" s="3" t="s">
        <v>92</v>
      </c>
      <c r="D30" s="93" t="s">
        <v>97</v>
      </c>
      <c r="E30" s="174">
        <v>500</v>
      </c>
      <c r="G30" s="3" t="s">
        <v>175</v>
      </c>
      <c r="H30" s="129">
        <f>$E$28/$E$33</f>
        <v>0</v>
      </c>
    </row>
    <row r="31" spans="1:23" ht="18.75" x14ac:dyDescent="0.35">
      <c r="C31" s="3"/>
      <c r="D31" s="52" t="s">
        <v>98</v>
      </c>
      <c r="E31" s="134">
        <v>260</v>
      </c>
      <c r="G31" s="3" t="s">
        <v>132</v>
      </c>
      <c r="H31" s="129">
        <f>MAX(0.02,$D$4/20)</f>
        <v>0.02</v>
      </c>
      <c r="V31"/>
      <c r="W31"/>
    </row>
    <row r="32" spans="1:23" ht="18.75" x14ac:dyDescent="0.35">
      <c r="C32" s="3" t="s">
        <v>200</v>
      </c>
      <c r="D32" s="52" t="s">
        <v>163</v>
      </c>
      <c r="E32" s="224">
        <f>IF(G8&lt;35,0,(1+0.12*G5)*(H11/1000+0.0035)*((D4+20*H30)/(D4+10*H30))*(G7^2/(50*D7)))</f>
        <v>0.11596456689457885</v>
      </c>
      <c r="V32"/>
      <c r="W32"/>
    </row>
    <row r="33" spans="1:24" ht="18.75" x14ac:dyDescent="0.35">
      <c r="C33" s="3" t="s">
        <v>162</v>
      </c>
      <c r="D33" s="52" t="s">
        <v>99</v>
      </c>
      <c r="E33" s="140">
        <v>1.5</v>
      </c>
      <c r="G33" s="3" t="s">
        <v>251</v>
      </c>
      <c r="H33" s="129">
        <f>MAX(H30:H31)+E32</f>
        <v>0.13596456689457884</v>
      </c>
      <c r="I33"/>
      <c r="M33"/>
      <c r="V33"/>
      <c r="W33"/>
    </row>
    <row r="34" spans="1:24" x14ac:dyDescent="0.25">
      <c r="E34" s="55" t="s">
        <v>138</v>
      </c>
      <c r="G34" s="52" t="str">
        <f>IF(P43=1,"respecto arm. Inf. ","respecto arm. sup. ")&amp;IF(P43=1, "e1=","e2= ")</f>
        <v xml:space="preserve">respecto arm. sup. e2= </v>
      </c>
      <c r="H34" s="129">
        <f>IF(P43=1,O40,O41)</f>
        <v>0.17</v>
      </c>
      <c r="V34"/>
      <c r="W34"/>
    </row>
    <row r="35" spans="1:24" x14ac:dyDescent="0.25">
      <c r="C35" s="3" t="s">
        <v>94</v>
      </c>
      <c r="D35" s="153" t="str">
        <f>IF(H30&gt;D4/2-D8,IF(AND(E37&gt;E25,E23=O44),"FC con Md* &gt; Mlim   Caso 1.b_","FC con Md* &lt;  Mlim   Caso 1.a_"),IF(AND(E37&gt;G25,O49=D4),"CC con Md* &gt; Mmax   Caso 2.b_","CC con Md* &lt; Mmax   Caso 2.a_"))</f>
        <v>CC con Md* &lt; Mmax   Caso 2.a_</v>
      </c>
      <c r="E35" s="101"/>
      <c r="V35"/>
      <c r="W35"/>
    </row>
    <row r="36" spans="1:24" ht="18.75" x14ac:dyDescent="0.35">
      <c r="C36" s="3" t="s">
        <v>95</v>
      </c>
      <c r="D36" s="52" t="s">
        <v>164</v>
      </c>
      <c r="E36" s="130">
        <f>E30*E33</f>
        <v>750</v>
      </c>
      <c r="V36"/>
      <c r="W36"/>
    </row>
    <row r="37" spans="1:24" ht="19.5" x14ac:dyDescent="0.35">
      <c r="C37" s="3" t="s">
        <v>96</v>
      </c>
      <c r="D37" s="52" t="s">
        <v>133</v>
      </c>
      <c r="E37" s="226">
        <f>$E$36*$H$34</f>
        <v>127.50000000000001</v>
      </c>
      <c r="M37"/>
      <c r="V37"/>
      <c r="W37"/>
    </row>
    <row r="38" spans="1:24" ht="16.5" thickBot="1" x14ac:dyDescent="0.3">
      <c r="B38"/>
      <c r="C38"/>
      <c r="D38"/>
      <c r="E38"/>
      <c r="F38"/>
      <c r="G38"/>
      <c r="H38"/>
      <c r="I38"/>
      <c r="M38"/>
      <c r="V38"/>
      <c r="W38"/>
    </row>
    <row r="39" spans="1:24" ht="16.5" thickBot="1" x14ac:dyDescent="0.3">
      <c r="D39" s="92"/>
      <c r="H39"/>
      <c r="L39" s="75"/>
      <c r="M39" s="135" t="s">
        <v>134</v>
      </c>
      <c r="N39" s="136"/>
      <c r="O39" s="137"/>
      <c r="P39" s="55"/>
      <c r="Q39" s="55"/>
      <c r="R39"/>
      <c r="S39"/>
      <c r="V39"/>
      <c r="W39"/>
    </row>
    <row r="40" spans="1:24" ht="19.5" thickBot="1" x14ac:dyDescent="0.4">
      <c r="A40" s="389" t="s">
        <v>102</v>
      </c>
      <c r="C40" s="3" t="s">
        <v>103</v>
      </c>
      <c r="E40" s="3" t="s">
        <v>104</v>
      </c>
      <c r="F40" s="3" t="s">
        <v>112</v>
      </c>
      <c r="G40" s="164">
        <f>IF($P$43=1,Q47,IF(Q52&lt;0,0,Q52))</f>
        <v>5.833617556739636</v>
      </c>
      <c r="H40"/>
      <c r="L40" s="146"/>
      <c r="M40" s="138" t="s">
        <v>136</v>
      </c>
      <c r="N40" s="169" t="s">
        <v>156</v>
      </c>
      <c r="O40" s="167">
        <f>D4/2-D8+H30</f>
        <v>0.17</v>
      </c>
      <c r="P40" s="55" t="s">
        <v>149</v>
      </c>
      <c r="Q40" s="55"/>
      <c r="R40"/>
      <c r="S40"/>
      <c r="V40"/>
      <c r="W40"/>
    </row>
    <row r="41" spans="1:24" ht="19.5" thickBot="1" x14ac:dyDescent="0.4">
      <c r="E41" s="3" t="s">
        <v>105</v>
      </c>
      <c r="F41" s="3" t="s">
        <v>113</v>
      </c>
      <c r="G41" s="164">
        <f>IF($P$43=1,Q48,IF(Q53&lt;0,0,Q53))</f>
        <v>0</v>
      </c>
      <c r="H41"/>
      <c r="L41" s="75"/>
      <c r="M41" s="139" t="s">
        <v>135</v>
      </c>
      <c r="N41" s="170" t="s">
        <v>157</v>
      </c>
      <c r="O41" s="168">
        <f>D4/2-D8-H30</f>
        <v>0.17</v>
      </c>
      <c r="P41" s="55" t="s">
        <v>150</v>
      </c>
      <c r="Q41" s="55"/>
      <c r="R41"/>
      <c r="S41"/>
      <c r="V41"/>
      <c r="W41"/>
    </row>
    <row r="42" spans="1:24" ht="19.5" thickBot="1" x14ac:dyDescent="0.4">
      <c r="D42" s="3" t="s">
        <v>106</v>
      </c>
      <c r="E42" s="3" t="s">
        <v>107</v>
      </c>
      <c r="F42" s="3" t="s">
        <v>111</v>
      </c>
      <c r="G42" s="165">
        <f>0.05*E36/4</f>
        <v>9.375</v>
      </c>
      <c r="L42" s="75"/>
      <c r="M42" s="132" t="str">
        <f>MID(D35,SEARCH("_",D35)-8,8)</f>
        <v>Caso 2.a</v>
      </c>
      <c r="N42" s="121"/>
      <c r="O42" s="120" t="s">
        <v>137</v>
      </c>
      <c r="P42" s="55"/>
      <c r="Q42" s="55"/>
      <c r="R42"/>
      <c r="S42"/>
      <c r="V42"/>
      <c r="W42"/>
    </row>
    <row r="43" spans="1:24" ht="19.5" thickBot="1" x14ac:dyDescent="0.4">
      <c r="E43" s="3"/>
      <c r="F43" s="3" t="s">
        <v>109</v>
      </c>
      <c r="G43" s="165">
        <f>IF(P43=1,0.04*D5*D4*G14/G15*10^4,G42)</f>
        <v>9.375</v>
      </c>
      <c r="L43" s="75"/>
      <c r="M43" s="131" t="str">
        <f>IF(H33&gt;(D4/2-D8),"FC"," CC peq excentr.")</f>
        <v xml:space="preserve"> CC peq excentr.</v>
      </c>
      <c r="N43" s="133"/>
      <c r="O43" s="143">
        <f>IF(OR(M42="Caso 1.b",M42="Caso 1.a"), 1,2)</f>
        <v>2</v>
      </c>
      <c r="P43" s="119">
        <f>IF(M43="FC",1,2)</f>
        <v>2</v>
      </c>
      <c r="R43"/>
      <c r="S43"/>
      <c r="V43"/>
      <c r="W43"/>
    </row>
    <row r="44" spans="1:24" ht="18" customHeight="1" x14ac:dyDescent="0.35">
      <c r="E44" s="3" t="s">
        <v>108</v>
      </c>
      <c r="F44" s="3" t="s">
        <v>110</v>
      </c>
      <c r="G44" s="166">
        <f>40*D5*D4</f>
        <v>6.4</v>
      </c>
      <c r="L44" s="75"/>
      <c r="M44" s="108"/>
      <c r="N44" s="116" t="s">
        <v>141</v>
      </c>
      <c r="O44" s="154">
        <f>IF(P43=1,IF(E37&gt;E25,E23,$D$9*(1-SQRT(1-((2*E37)/(G14*1000*D5*D9^2))))),0)</f>
        <v>0</v>
      </c>
      <c r="P44" s="122"/>
      <c r="Q44" s="123"/>
      <c r="R44" s="3"/>
      <c r="S44"/>
      <c r="V44"/>
      <c r="W44"/>
    </row>
    <row r="45" spans="1:24" ht="18" x14ac:dyDescent="0.35">
      <c r="E45" s="3"/>
      <c r="L45" s="146"/>
      <c r="M45" s="109"/>
      <c r="N45" s="117" t="s">
        <v>142</v>
      </c>
      <c r="O45" s="155">
        <f>IF(P43=1,O44*D5*G14*1000,0)</f>
        <v>0</v>
      </c>
      <c r="P45" s="124"/>
      <c r="Q45" s="125"/>
      <c r="R45" s="3"/>
      <c r="S45"/>
      <c r="V45"/>
      <c r="W45"/>
    </row>
    <row r="46" spans="1:24" x14ac:dyDescent="0.25">
      <c r="C46" s="3" t="s">
        <v>114</v>
      </c>
      <c r="D46" s="55" t="s">
        <v>115</v>
      </c>
      <c r="L46" s="75"/>
      <c r="M46" s="110" t="str">
        <f>+M40</f>
        <v>FC</v>
      </c>
      <c r="N46" s="105"/>
      <c r="O46" s="151"/>
      <c r="P46" s="126"/>
      <c r="Q46" s="127"/>
      <c r="R46" s="3"/>
      <c r="S46"/>
    </row>
    <row r="47" spans="1:24" ht="18" x14ac:dyDescent="0.35">
      <c r="L47" s="75"/>
      <c r="M47" s="111"/>
      <c r="N47" s="117" t="s">
        <v>145</v>
      </c>
      <c r="O47" s="171">
        <f>IF(P43=2,0,IF(E37&lt;E25,0,(E37-E25)/(D9-D8)))</f>
        <v>0</v>
      </c>
      <c r="P47" s="141" t="s">
        <v>140</v>
      </c>
      <c r="Q47" s="172">
        <f>O47/($G$16)*10</f>
        <v>0</v>
      </c>
      <c r="R47" s="3"/>
      <c r="S47"/>
    </row>
    <row r="48" spans="1:24" ht="18.75" thickBot="1" x14ac:dyDescent="0.4">
      <c r="B48"/>
      <c r="C48"/>
      <c r="D48"/>
      <c r="E48"/>
      <c r="F48"/>
      <c r="G48"/>
      <c r="H48"/>
      <c r="L48" s="75"/>
      <c r="M48" s="112"/>
      <c r="N48" s="117" t="s">
        <v>143</v>
      </c>
      <c r="O48" s="155">
        <f>IF(P43=2,0,O45-E36)</f>
        <v>0</v>
      </c>
      <c r="P48" s="142" t="s">
        <v>153</v>
      </c>
      <c r="Q48" s="158">
        <f>O48/(G15)*10</f>
        <v>0</v>
      </c>
      <c r="R48" s="3"/>
      <c r="S48"/>
      <c r="X48" s="49"/>
    </row>
    <row r="49" spans="2:24" x14ac:dyDescent="0.25">
      <c r="B49"/>
      <c r="C49"/>
      <c r="D49"/>
      <c r="E49"/>
      <c r="F49"/>
      <c r="G49"/>
      <c r="H49"/>
      <c r="L49" s="75"/>
      <c r="M49" s="113"/>
      <c r="N49" s="116" t="s">
        <v>141</v>
      </c>
      <c r="O49" s="154">
        <f>IF(P43=2,IF(E37&gt;G25,D4,D8+(SQRT(D8^2+((2*E37)/(G14*100*D5))))),0)</f>
        <v>0.55355924756830133</v>
      </c>
      <c r="P49" s="104"/>
      <c r="Q49" s="148"/>
      <c r="R49" s="3"/>
      <c r="S49"/>
      <c r="X49" s="49"/>
    </row>
    <row r="50" spans="2:24" ht="16.5" customHeight="1" x14ac:dyDescent="0.35">
      <c r="B50"/>
      <c r="C50"/>
      <c r="D50"/>
      <c r="E50"/>
      <c r="F50"/>
      <c r="G50"/>
      <c r="H50"/>
      <c r="L50" s="75"/>
      <c r="M50" s="111"/>
      <c r="N50" s="117" t="s">
        <v>142</v>
      </c>
      <c r="O50" s="156">
        <f>D5*O49*G14*100</f>
        <v>516.65529773041453</v>
      </c>
      <c r="P50" s="106"/>
      <c r="Q50" s="149"/>
      <c r="R50" s="3"/>
      <c r="S50"/>
      <c r="X50" s="49"/>
    </row>
    <row r="51" spans="2:24" ht="16.5" customHeight="1" x14ac:dyDescent="0.25">
      <c r="B51"/>
      <c r="C51"/>
      <c r="D51"/>
      <c r="E51"/>
      <c r="F51"/>
      <c r="G51"/>
      <c r="H51"/>
      <c r="L51" s="96" t="s">
        <v>139</v>
      </c>
      <c r="M51" s="114" t="s">
        <v>146</v>
      </c>
      <c r="N51" s="105"/>
      <c r="O51" s="156"/>
      <c r="P51" s="107"/>
      <c r="Q51" s="150"/>
      <c r="R51" s="3"/>
      <c r="S51"/>
      <c r="X51" s="49"/>
    </row>
    <row r="52" spans="2:24" ht="18" x14ac:dyDescent="0.35">
      <c r="B52"/>
      <c r="C52"/>
      <c r="D52"/>
      <c r="E52"/>
      <c r="F52"/>
      <c r="G52"/>
      <c r="H52"/>
      <c r="L52" s="146"/>
      <c r="M52" s="109"/>
      <c r="N52" s="117" t="s">
        <v>145</v>
      </c>
      <c r="O52" s="173">
        <f>IF(P43=1,0,E36-O50-O53)</f>
        <v>233.34470226958547</v>
      </c>
      <c r="P52" s="102" t="s">
        <v>140</v>
      </c>
      <c r="Q52" s="172">
        <f>O52/($G$16)*10</f>
        <v>5.833617556739636</v>
      </c>
      <c r="R52" s="3"/>
      <c r="S52"/>
    </row>
    <row r="53" spans="2:24" ht="18.75" thickBot="1" x14ac:dyDescent="0.4">
      <c r="B53"/>
      <c r="C53"/>
      <c r="D53"/>
      <c r="E53"/>
      <c r="F53"/>
      <c r="G53"/>
      <c r="H53"/>
      <c r="L53" s="146"/>
      <c r="M53" s="115"/>
      <c r="N53" s="118" t="s">
        <v>143</v>
      </c>
      <c r="O53" s="157">
        <f>IF(P43=1,0,IF(E37&lt;G25,0,(E37-G25)/(D9-D8)))</f>
        <v>0</v>
      </c>
      <c r="P53" s="103" t="s">
        <v>144</v>
      </c>
      <c r="Q53" s="159">
        <f>O53/(G16)*10</f>
        <v>0</v>
      </c>
      <c r="R53" s="3"/>
      <c r="S53"/>
    </row>
    <row r="54" spans="2:24" x14ac:dyDescent="0.25">
      <c r="G54" s="55"/>
      <c r="L54" s="147"/>
      <c r="M54" s="54"/>
      <c r="N54" s="49"/>
      <c r="O54" s="3"/>
      <c r="R54" s="3"/>
    </row>
  </sheetData>
  <dataConsolidate link="1"/>
  <conditionalFormatting sqref="G54">
    <cfRule type="cellIs" dxfId="19" priority="4" operator="equal">
      <formula>"no valido"</formula>
    </cfRule>
    <cfRule type="cellIs" dxfId="18" priority="5" operator="equal">
      <formula>"OK"</formula>
    </cfRule>
  </conditionalFormatting>
  <conditionalFormatting sqref="G43">
    <cfRule type="expression" dxfId="17" priority="3">
      <formula>AND($E$45="Elemento mal seleccionado")</formula>
    </cfRule>
  </conditionalFormatting>
  <printOptions horizontalCentered="1"/>
  <pageMargins left="0.23622047244094491" right="0.23622047244094491" top="0.74803149606299213" bottom="0.74803149606299213" header="0.31496062992125984" footer="0.31496062992125984"/>
  <pageSetup paperSize="9" scale="60" orientation="portrait" r:id="rId1"/>
  <drawing r:id="rId2"/>
  <legacyDrawing r:id="rId3"/>
  <extLst>
    <ext xmlns:x14="http://schemas.microsoft.com/office/spreadsheetml/2009/9/main" uri="{CCE6A557-97BC-4b89-ADB6-D9C93CAAB3DF}">
      <x14:dataValidations xmlns:xm="http://schemas.microsoft.com/office/excel/2006/main" count="5">
        <x14:dataValidation type="list" allowBlank="1" showInputMessage="1" showErrorMessage="1" xr:uid="{B0930CE1-CBCA-4349-94B4-3244CFB3E4FC}">
          <x14:formula1>
            <xm:f>'Tablas EHE'!$G$3:$G$4</xm:f>
          </x14:formula1>
          <xm:sqref>D14</xm:sqref>
        </x14:dataValidation>
        <x14:dataValidation type="list" allowBlank="1" showInputMessage="1" showErrorMessage="1" xr:uid="{F5C514EC-9E0B-4A64-8EE3-1AA5DA6E2946}">
          <x14:formula1>
            <xm:f>'Tablas EHE'!$A$2:$A$7</xm:f>
          </x14:formula1>
          <xm:sqref>D12</xm:sqref>
        </x14:dataValidation>
        <x14:dataValidation type="list" allowBlank="1" showInputMessage="1" showErrorMessage="1" xr:uid="{1E78BC5F-9B25-443D-806F-856CAD236E5F}">
          <x14:formula1>
            <xm:f>'Tablas EHE'!$D$2:$D$3</xm:f>
          </x14:formula1>
          <xm:sqref>D13</xm:sqref>
        </x14:dataValidation>
        <x14:dataValidation type="list" allowBlank="1" showInputMessage="1" showErrorMessage="1" xr:uid="{032BF272-EA68-430E-8BFC-29A847C387D0}">
          <x14:formula1>
            <xm:f>'Tablas EHE'!$A$12:$A$15</xm:f>
          </x14:formula1>
          <xm:sqref>I5</xm:sqref>
        </x14:dataValidation>
        <x14:dataValidation type="list" allowBlank="1" showInputMessage="1" showErrorMessage="1" xr:uid="{014B7573-A1A9-45C8-BCDE-7E4AE53742A0}">
          <x14:formula1>
            <xm:f>'Tablas EHE'!$A$19:$A$23</xm:f>
          </x14:formula1>
          <xm:sqref>I7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88F698-54C5-4956-9178-77432561D15B}">
  <sheetPr codeName="Hoja8"/>
  <dimension ref="A1:K40"/>
  <sheetViews>
    <sheetView showGridLines="0" zoomScale="85" zoomScaleNormal="85" zoomScaleSheetLayoutView="70" workbookViewId="0"/>
  </sheetViews>
  <sheetFormatPr defaultColWidth="11.42578125" defaultRowHeight="15.75" x14ac:dyDescent="0.25"/>
  <cols>
    <col min="1" max="1" width="29" style="201" customWidth="1"/>
    <col min="2" max="2" width="7.85546875" style="54" customWidth="1"/>
    <col min="3" max="3" width="13.140625" style="49" customWidth="1"/>
    <col min="4" max="4" width="3.7109375" style="4" customWidth="1"/>
    <col min="5" max="5" width="4" style="3" customWidth="1"/>
    <col min="6" max="6" width="7.7109375" style="55" customWidth="1"/>
    <col min="7" max="7" width="14.7109375" style="55" customWidth="1"/>
    <col min="8" max="8" width="16.7109375" style="3" bestFit="1" customWidth="1"/>
    <col min="9" max="9" width="3.85546875" style="49" bestFit="1" customWidth="1"/>
    <col min="10" max="10" width="15.140625" bestFit="1" customWidth="1"/>
    <col min="11" max="11" width="15.28515625" customWidth="1"/>
    <col min="13" max="13" width="17" bestFit="1" customWidth="1"/>
    <col min="14" max="14" width="13.85546875" bestFit="1" customWidth="1"/>
    <col min="19" max="19" width="14.28515625" bestFit="1" customWidth="1"/>
  </cols>
  <sheetData>
    <row r="1" spans="1:9" x14ac:dyDescent="0.25">
      <c r="A1" s="201" t="s">
        <v>279</v>
      </c>
    </row>
    <row r="3" spans="1:9" x14ac:dyDescent="0.25">
      <c r="A3" s="231" t="s">
        <v>280</v>
      </c>
      <c r="C3"/>
      <c r="F3"/>
    </row>
    <row r="4" spans="1:9" ht="18.75" x14ac:dyDescent="0.35">
      <c r="B4" s="50" t="s">
        <v>281</v>
      </c>
      <c r="C4" s="236">
        <v>0</v>
      </c>
      <c r="F4" s="3" t="s">
        <v>85</v>
      </c>
      <c r="G4" s="204">
        <f>INDEX('Tablas EHE'!$B$2:$B$7,MATCH($C$16,'Tablas EHE'!$A$2:$A$7,0))</f>
        <v>25</v>
      </c>
    </row>
    <row r="5" spans="1:9" ht="18.75" x14ac:dyDescent="0.35">
      <c r="B5" s="50" t="s">
        <v>282</v>
      </c>
      <c r="C5" s="236">
        <v>99</v>
      </c>
      <c r="F5" s="3" t="s">
        <v>66</v>
      </c>
      <c r="G5" s="205">
        <f>IF($C$17="B500S",'Tablas EHE'!$E$3,'Tablas EHE'!$E$2)</f>
        <v>500</v>
      </c>
    </row>
    <row r="6" spans="1:9" ht="18.75" x14ac:dyDescent="0.35">
      <c r="B6" s="3" t="s">
        <v>306</v>
      </c>
      <c r="C6" s="259">
        <f>C4/(C10*C11*100)</f>
        <v>0</v>
      </c>
      <c r="F6" s="3" t="s">
        <v>402</v>
      </c>
      <c r="G6" s="205">
        <f>0.7*IF(G4&lt;=50,0.3*G4^(2/3),0.58*G4^0.5)</f>
        <v>1.7954747440105308</v>
      </c>
    </row>
    <row r="7" spans="1:9" ht="18.75" x14ac:dyDescent="0.35">
      <c r="B7" s="3" t="s">
        <v>283</v>
      </c>
      <c r="C7" s="55"/>
      <c r="F7" s="3" t="s">
        <v>400</v>
      </c>
      <c r="G7" s="205">
        <f>0.7*G6</f>
        <v>1.2568323208073715</v>
      </c>
    </row>
    <row r="8" spans="1:9" x14ac:dyDescent="0.25">
      <c r="A8"/>
      <c r="B8"/>
      <c r="C8" s="3" t="s">
        <v>201</v>
      </c>
      <c r="E8"/>
      <c r="G8" s="3"/>
      <c r="H8"/>
      <c r="I8"/>
    </row>
    <row r="9" spans="1:9" x14ac:dyDescent="0.25">
      <c r="A9" s="231" t="s">
        <v>284</v>
      </c>
      <c r="B9"/>
      <c r="F9"/>
      <c r="G9" s="1" t="s">
        <v>330</v>
      </c>
      <c r="H9" s="195" t="s">
        <v>327</v>
      </c>
      <c r="I9"/>
    </row>
    <row r="10" spans="1:9" x14ac:dyDescent="0.25">
      <c r="A10" s="56"/>
      <c r="B10" s="3" t="s">
        <v>285</v>
      </c>
      <c r="C10" s="192">
        <v>0.6</v>
      </c>
      <c r="E10" s="55"/>
      <c r="G10" s="3" t="s">
        <v>287</v>
      </c>
      <c r="H10" s="192">
        <v>0.6</v>
      </c>
    </row>
    <row r="11" spans="1:9" x14ac:dyDescent="0.25">
      <c r="A11" s="59"/>
      <c r="B11" s="3" t="s">
        <v>286</v>
      </c>
      <c r="C11" s="192">
        <v>1</v>
      </c>
      <c r="E11" s="55"/>
      <c r="G11" s="3" t="s">
        <v>323</v>
      </c>
      <c r="H11" s="311">
        <f>INDEX(IF(H9="Baja",'Tablas EHE'!N26,'Tablas EHE'!O26),,)</f>
        <v>0.2</v>
      </c>
    </row>
    <row r="12" spans="1:9" x14ac:dyDescent="0.25">
      <c r="A12" s="3"/>
      <c r="B12" s="3"/>
      <c r="C12" s="329"/>
      <c r="E12" s="55"/>
      <c r="G12" s="3" t="s">
        <v>301</v>
      </c>
      <c r="H12" s="37" cm="1">
        <f t="array" ref="H12">INDEX(IF(H9="Baja",'Tablas EHE'!N27:N28,'Tablas EHE'!O27:O28),IF(H27&lt;=2.5*H11*H30*H31,1,IF(H27&gt;2.5*H11*H30*H31,2)))</f>
        <v>0.3</v>
      </c>
    </row>
    <row r="13" spans="1:9" x14ac:dyDescent="0.25">
      <c r="C13"/>
      <c r="E13"/>
      <c r="F13" s="262"/>
      <c r="G13"/>
    </row>
    <row r="14" spans="1:9" ht="18" x14ac:dyDescent="0.35">
      <c r="A14" s="231" t="s">
        <v>288</v>
      </c>
      <c r="B14"/>
      <c r="C14"/>
      <c r="E14" s="55"/>
      <c r="F14" s="3" t="s">
        <v>291</v>
      </c>
      <c r="G14" s="1" t="s">
        <v>289</v>
      </c>
      <c r="H14" s="206">
        <f>INDEX('Tablas EHE'!H3:H4,MATCH($C$15,'Tablas EHE'!$G$3:$G$4,0))</f>
        <v>1.5</v>
      </c>
      <c r="I14"/>
    </row>
    <row r="15" spans="1:9" ht="18" x14ac:dyDescent="0.35">
      <c r="B15" s="52" t="s">
        <v>18</v>
      </c>
      <c r="C15" s="234" t="s">
        <v>19</v>
      </c>
      <c r="E15" s="55"/>
      <c r="G15" s="1" t="s">
        <v>290</v>
      </c>
      <c r="H15" s="206">
        <f>INDEX('Tablas EHE'!I3:I4,MATCH($C$15,'Tablas EHE'!$G$3:$G$4,0))</f>
        <v>1.1499999999999999</v>
      </c>
      <c r="I15"/>
    </row>
    <row r="16" spans="1:9" ht="18.75" x14ac:dyDescent="0.35">
      <c r="B16" s="52" t="s">
        <v>7</v>
      </c>
      <c r="C16" s="195" t="s">
        <v>9</v>
      </c>
      <c r="E16" s="55"/>
      <c r="F16" s="3" t="s">
        <v>292</v>
      </c>
      <c r="G16" s="3" t="s">
        <v>86</v>
      </c>
      <c r="H16" s="206">
        <f>$G$4/$H$14</f>
        <v>16.666666666666668</v>
      </c>
    </row>
    <row r="17" spans="1:11" ht="18.75" x14ac:dyDescent="0.35">
      <c r="A17"/>
      <c r="B17" s="52" t="s">
        <v>16</v>
      </c>
      <c r="C17" s="195" t="s">
        <v>15</v>
      </c>
      <c r="E17" s="55"/>
      <c r="G17" s="3" t="s">
        <v>87</v>
      </c>
      <c r="H17" s="206">
        <f>+$G$5/$H$15</f>
        <v>434.78260869565219</v>
      </c>
    </row>
    <row r="18" spans="1:11" x14ac:dyDescent="0.25">
      <c r="A18"/>
      <c r="B18"/>
      <c r="F18"/>
      <c r="G18"/>
    </row>
    <row r="19" spans="1:11" x14ac:dyDescent="0.25">
      <c r="A19"/>
      <c r="B19"/>
      <c r="F19"/>
      <c r="G19"/>
    </row>
    <row r="21" spans="1:11" x14ac:dyDescent="0.25">
      <c r="A21" s="231" t="s">
        <v>293</v>
      </c>
      <c r="C21" s="54"/>
      <c r="E21" s="54"/>
      <c r="F21" s="54"/>
      <c r="G21" s="54"/>
      <c r="H21" s="54"/>
      <c r="I21"/>
    </row>
    <row r="22" spans="1:11" ht="18.75" x14ac:dyDescent="0.35">
      <c r="B22" s="50" t="s">
        <v>294</v>
      </c>
      <c r="C22" s="238">
        <v>16</v>
      </c>
      <c r="E22" s="353"/>
      <c r="F22" s="353"/>
      <c r="G22" s="345" t="s">
        <v>297</v>
      </c>
      <c r="H22" s="368">
        <v>0.5</v>
      </c>
      <c r="I22" s="369"/>
    </row>
    <row r="23" spans="1:11" ht="18.75" x14ac:dyDescent="0.35">
      <c r="A23" s="231"/>
      <c r="B23" s="50" t="s">
        <v>295</v>
      </c>
      <c r="C23" s="257">
        <v>3</v>
      </c>
      <c r="E23" s="54"/>
      <c r="F23" s="54"/>
      <c r="G23" s="3" t="s">
        <v>298</v>
      </c>
      <c r="H23" s="308" cm="1">
        <f t="array" ref="H23">INDEX('Tablas EHE'!H8:H15,MATCH(C22,'Tablas EHE'!G8:G15,0),)*C23</f>
        <v>6.0299999999999994</v>
      </c>
      <c r="I23" s="294"/>
    </row>
    <row r="24" spans="1:11" ht="18.75" x14ac:dyDescent="0.35">
      <c r="B24" s="50" t="s">
        <v>331</v>
      </c>
      <c r="C24" s="241">
        <v>90</v>
      </c>
      <c r="E24" s="54"/>
      <c r="F24" s="54"/>
      <c r="G24" s="3" t="s">
        <v>299</v>
      </c>
      <c r="H24" s="308">
        <f>H23</f>
        <v>6.0299999999999994</v>
      </c>
      <c r="I24" s="261"/>
    </row>
    <row r="25" spans="1:11" ht="18.75" x14ac:dyDescent="0.35">
      <c r="A25" s="352"/>
      <c r="B25" s="370" t="s">
        <v>296</v>
      </c>
      <c r="C25" s="353">
        <f>H23/H24</f>
        <v>1</v>
      </c>
      <c r="D25" s="371"/>
      <c r="E25" s="353"/>
      <c r="F25" s="54"/>
      <c r="G25" s="3" t="s">
        <v>332</v>
      </c>
      <c r="H25" s="333">
        <f>H24/(C10*C11*10000)</f>
        <v>1.0049999999999998E-3</v>
      </c>
      <c r="I25" s="312" t="str">
        <f>IF(H25&lt;0.001,"No se puede considerar la contribucion de las armaduras","OK")</f>
        <v>OK</v>
      </c>
    </row>
    <row r="26" spans="1:11" x14ac:dyDescent="0.25">
      <c r="C26" s="54"/>
      <c r="E26" s="54"/>
      <c r="F26" s="54"/>
      <c r="G26" s="54"/>
      <c r="H26" s="54"/>
    </row>
    <row r="27" spans="1:11" ht="18.75" x14ac:dyDescent="0.35">
      <c r="A27" s="295" t="s">
        <v>300</v>
      </c>
      <c r="B27"/>
      <c r="C27" s="54"/>
      <c r="E27" s="54"/>
      <c r="G27" s="50" t="s">
        <v>302</v>
      </c>
      <c r="H27" s="330">
        <f>C5/(C10*C11*1000)</f>
        <v>0.16500000000000001</v>
      </c>
      <c r="I27"/>
      <c r="K27" t="s">
        <v>53</v>
      </c>
    </row>
    <row r="28" spans="1:11" x14ac:dyDescent="0.25">
      <c r="B28"/>
      <c r="C28" s="54"/>
      <c r="E28" s="54"/>
      <c r="F28" s="54"/>
      <c r="G28" s="54"/>
      <c r="H28" s="54"/>
      <c r="I28"/>
    </row>
    <row r="29" spans="1:11" ht="18.75" x14ac:dyDescent="0.35">
      <c r="A29" s="295" t="s">
        <v>303</v>
      </c>
      <c r="B29"/>
      <c r="C29"/>
      <c r="E29"/>
      <c r="F29"/>
      <c r="G29" s="50" t="s">
        <v>304</v>
      </c>
      <c r="H29" t="s">
        <v>305</v>
      </c>
      <c r="I29"/>
    </row>
    <row r="30" spans="1:11" x14ac:dyDescent="0.25">
      <c r="G30" s="3" t="s">
        <v>307</v>
      </c>
      <c r="H30" s="335">
        <f>(1.3-0.3*G4/25)</f>
        <v>1</v>
      </c>
    </row>
    <row r="31" spans="1:11" ht="18.75" x14ac:dyDescent="0.35">
      <c r="G31" s="3" t="s">
        <v>401</v>
      </c>
      <c r="H31" s="205">
        <f>G7/H14</f>
        <v>0.83788821387158097</v>
      </c>
    </row>
    <row r="32" spans="1:11" ht="18.75" x14ac:dyDescent="0.35">
      <c r="C32" s="50" t="s">
        <v>308</v>
      </c>
      <c r="D32" s="336" t="s">
        <v>309</v>
      </c>
      <c r="E32" s="59" t="s">
        <v>310</v>
      </c>
      <c r="G32" s="50" t="s">
        <v>304</v>
      </c>
      <c r="H32" s="330">
        <f>H11*H30*H31+H12*C6</f>
        <v>0.16757764277431619</v>
      </c>
    </row>
    <row r="34" spans="1:9" x14ac:dyDescent="0.25">
      <c r="A34" s="295" t="s">
        <v>311</v>
      </c>
    </row>
    <row r="35" spans="1:9" x14ac:dyDescent="0.25">
      <c r="F35" s="3" t="s">
        <v>314</v>
      </c>
      <c r="G35" s="205">
        <f>MIN(H17,400)</f>
        <v>400</v>
      </c>
    </row>
    <row r="36" spans="1:9" ht="18.75" x14ac:dyDescent="0.35">
      <c r="F36" s="50" t="s">
        <v>315</v>
      </c>
      <c r="G36" s="330">
        <f>IF(H25&lt;0.001,0,H25*G35*(H12*SIN(C24*PI()/180)+COS(C24*PI()/180)))</f>
        <v>0.12059999999999998</v>
      </c>
    </row>
    <row r="38" spans="1:9" ht="18.75" x14ac:dyDescent="0.35">
      <c r="A38" s="295" t="s">
        <v>312</v>
      </c>
      <c r="F38" s="50" t="s">
        <v>316</v>
      </c>
      <c r="G38" s="330">
        <f>G36+H32</f>
        <v>0.28817764277431618</v>
      </c>
    </row>
    <row r="40" spans="1:9" ht="18.75" x14ac:dyDescent="0.35">
      <c r="A40" s="295" t="s">
        <v>313</v>
      </c>
      <c r="D40" s="50" t="s">
        <v>317</v>
      </c>
      <c r="E40" s="306" t="str">
        <f>IF(G38&gt;H40,"&gt;","&lt;")</f>
        <v>&lt;</v>
      </c>
      <c r="F40" s="59" t="s">
        <v>318</v>
      </c>
      <c r="G40" s="334">
        <v>0.25</v>
      </c>
      <c r="H40" s="205">
        <f>0.25*H16</f>
        <v>4.166666666666667</v>
      </c>
      <c r="I40" s="55" t="str">
        <f>IF(G38&gt;H40,"No válido","OK")</f>
        <v>OK</v>
      </c>
    </row>
  </sheetData>
  <sheetProtection selectLockedCells="1"/>
  <dataConsolidate/>
  <conditionalFormatting sqref="I40">
    <cfRule type="cellIs" dxfId="16" priority="3" operator="equal">
      <formula>"no valido"</formula>
    </cfRule>
    <cfRule type="cellIs" dxfId="15" priority="4" operator="equal">
      <formula>"OK"</formula>
    </cfRule>
  </conditionalFormatting>
  <conditionalFormatting sqref="I25">
    <cfRule type="cellIs" dxfId="14" priority="1" operator="equal">
      <formula>"no valido"</formula>
    </cfRule>
    <cfRule type="cellIs" dxfId="13" priority="2" operator="equal">
      <formula>"OK"</formula>
    </cfRule>
  </conditionalFormatting>
  <dataValidations disablePrompts="1" count="1">
    <dataValidation type="list" allowBlank="1" showInputMessage="1" showErrorMessage="1" sqref="F21 C22:D22" xr:uid="{66643420-F7AD-4C80-9511-D22D791347BE}">
      <formula1>Diámetros</formula1>
    </dataValidation>
  </dataValidations>
  <printOptions horizontalCentered="1"/>
  <pageMargins left="0.70866141732283472" right="0.70866141732283472" top="0.74803149606299213" bottom="0.74803149606299213" header="0.31496062992125984" footer="0.31496062992125984"/>
  <pageSetup paperSize="9" scale="86" orientation="portrait" r:id="rId1"/>
  <colBreaks count="1" manualBreakCount="1">
    <brk id="10"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2290" r:id="rId4" name="Option Button 2">
              <controlPr defaultSize="0" autoFill="0" autoLine="0" autoPict="0">
                <anchor moveWithCells="1">
                  <from>
                    <xdr:col>2</xdr:col>
                    <xdr:colOff>85725</xdr:colOff>
                    <xdr:row>6</xdr:row>
                    <xdr:rowOff>19050</xdr:rowOff>
                  </from>
                  <to>
                    <xdr:col>2</xdr:col>
                    <xdr:colOff>485775</xdr:colOff>
                    <xdr:row>7</xdr:row>
                    <xdr:rowOff>38100</xdr:rowOff>
                  </to>
                </anchor>
              </controlPr>
            </control>
          </mc:Choice>
        </mc:AlternateContent>
        <mc:AlternateContent xmlns:mc="http://schemas.openxmlformats.org/markup-compatibility/2006">
          <mc:Choice Requires="x14">
            <control shapeId="12291" r:id="rId5" name="Option Button 3">
              <controlPr defaultSize="0" autoFill="0" autoLine="0" autoPict="0">
                <anchor moveWithCells="1">
                  <from>
                    <xdr:col>2</xdr:col>
                    <xdr:colOff>447675</xdr:colOff>
                    <xdr:row>6</xdr:row>
                    <xdr:rowOff>19050</xdr:rowOff>
                  </from>
                  <to>
                    <xdr:col>2</xdr:col>
                    <xdr:colOff>847725</xdr:colOff>
                    <xdr:row>7</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EB290E8D-4C30-4A02-BFB0-C74D543098B6}">
          <x14:formula1>
            <xm:f>'Tablas EHE'!$D$2:$D$3</xm:f>
          </x14:formula1>
          <xm:sqref>C17:D17</xm:sqref>
        </x14:dataValidation>
        <x14:dataValidation type="list" allowBlank="1" showInputMessage="1" showErrorMessage="1" xr:uid="{8CF9C773-FAA6-4A1B-BB07-78DDE974AEC8}">
          <x14:formula1>
            <xm:f>'Tablas EHE'!$A$2:$A$7</xm:f>
          </x14:formula1>
          <xm:sqref>C16:D16</xm:sqref>
        </x14:dataValidation>
        <x14:dataValidation type="list" allowBlank="1" showInputMessage="1" showErrorMessage="1" xr:uid="{BAC4A636-BBEB-49B5-A6AE-AD173E39309C}">
          <x14:formula1>
            <xm:f>'Tablas EHE'!$G$3:$G$4</xm:f>
          </x14:formula1>
          <xm:sqref>C15:D15</xm:sqref>
        </x14:dataValidation>
        <x14:dataValidation type="list" allowBlank="1" showInputMessage="1" showErrorMessage="1" xr:uid="{81D94345-A0EA-47A4-B6B5-1705CD8D8A53}">
          <x14:formula1>
            <xm:f>'Tablas EHE'!$N$25:$O$25</xm:f>
          </x14:formula1>
          <xm:sqref>H9</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8FC969-5148-4049-AE55-F5FBF14EAB2F}">
  <sheetPr codeName="Hoja6"/>
  <dimension ref="A1:Q49"/>
  <sheetViews>
    <sheetView showGridLines="0" topLeftCell="D9" zoomScale="85" zoomScaleNormal="85" zoomScaleSheetLayoutView="70" zoomScalePageLayoutView="40" workbookViewId="0">
      <selection activeCell="M7" sqref="M7"/>
    </sheetView>
  </sheetViews>
  <sheetFormatPr defaultColWidth="11.42578125" defaultRowHeight="15.75" x14ac:dyDescent="0.25"/>
  <cols>
    <col min="1" max="1" width="16.7109375" style="390" customWidth="1"/>
    <col min="2" max="2" width="21.140625" style="54" customWidth="1"/>
    <col min="3" max="3" width="9.140625" style="49" customWidth="1"/>
    <col min="4" max="4" width="17" style="3" customWidth="1"/>
    <col min="5" max="5" width="17.28515625" style="55" customWidth="1"/>
    <col min="6" max="6" width="18.140625" style="55" bestFit="1" customWidth="1"/>
    <col min="7" max="7" width="11.7109375" style="3" bestFit="1" customWidth="1"/>
    <col min="8" max="8" width="11.42578125" style="49" bestFit="1" customWidth="1"/>
    <col min="9" max="9" width="2.140625" customWidth="1"/>
    <col min="10" max="10" width="5.28515625" style="49" customWidth="1"/>
    <col min="11" max="11" width="24.5703125" customWidth="1"/>
    <col min="12" max="12" width="13.5703125" customWidth="1"/>
    <col min="13" max="13" width="15.85546875" customWidth="1"/>
    <col min="14" max="14" width="14.5703125" customWidth="1"/>
    <col min="15" max="15" width="10.85546875" customWidth="1"/>
    <col min="16" max="16" width="18" bestFit="1" customWidth="1"/>
    <col min="17" max="17" width="8" customWidth="1"/>
    <col min="18" max="18" width="4" bestFit="1" customWidth="1"/>
    <col min="19" max="19" width="2.140625" customWidth="1"/>
    <col min="21" max="21" width="13.140625" bestFit="1" customWidth="1"/>
    <col min="25" max="25" width="12" customWidth="1"/>
    <col min="26" max="28" width="10.5703125" customWidth="1"/>
    <col min="29" max="29" width="18.5703125" customWidth="1"/>
    <col min="30" max="30" width="3.5703125" customWidth="1"/>
  </cols>
  <sheetData>
    <row r="1" spans="1:17" x14ac:dyDescent="0.25">
      <c r="A1" s="388"/>
      <c r="K1" s="247" t="s">
        <v>218</v>
      </c>
    </row>
    <row r="2" spans="1:17" ht="15.75" customHeight="1" x14ac:dyDescent="0.25">
      <c r="A2" s="295" t="s">
        <v>203</v>
      </c>
      <c r="D2" s="5" t="str">
        <f>IF($F$25&gt;$M$11,"Considerar redimensionado de sección!","")</f>
        <v/>
      </c>
      <c r="K2" s="5"/>
    </row>
    <row r="3" spans="1:17" x14ac:dyDescent="0.25">
      <c r="A3" s="388"/>
      <c r="C3"/>
      <c r="E3"/>
      <c r="G3"/>
      <c r="H3"/>
      <c r="J3"/>
      <c r="K3" s="231" t="s">
        <v>219</v>
      </c>
    </row>
    <row r="4" spans="1:17" x14ac:dyDescent="0.25">
      <c r="A4" s="295"/>
      <c r="B4" s="50" t="s">
        <v>204</v>
      </c>
      <c r="C4" s="3" t="s">
        <v>207</v>
      </c>
      <c r="D4" s="192">
        <v>0.3</v>
      </c>
      <c r="G4"/>
      <c r="H4"/>
      <c r="J4"/>
      <c r="K4" s="61"/>
      <c r="L4" s="268" t="s">
        <v>278</v>
      </c>
      <c r="M4" s="291">
        <f>D5</f>
        <v>0.6</v>
      </c>
      <c r="N4" s="3"/>
      <c r="P4" s="1" t="s">
        <v>277</v>
      </c>
      <c r="Q4" s="291">
        <f>D4-D7</f>
        <v>0.26</v>
      </c>
    </row>
    <row r="5" spans="1:17" x14ac:dyDescent="0.25">
      <c r="A5" s="388"/>
      <c r="B5" s="50" t="s">
        <v>205</v>
      </c>
      <c r="C5" s="3" t="s">
        <v>76</v>
      </c>
      <c r="D5" s="192">
        <v>0.6</v>
      </c>
      <c r="F5" s="268" t="s">
        <v>399</v>
      </c>
      <c r="G5" s="364">
        <v>1</v>
      </c>
      <c r="H5"/>
      <c r="J5"/>
      <c r="K5" s="61"/>
      <c r="M5" s="288"/>
    </row>
    <row r="6" spans="1:17" ht="18.75" x14ac:dyDescent="0.35">
      <c r="A6" s="388"/>
      <c r="B6" s="50" t="s">
        <v>206</v>
      </c>
      <c r="C6" s="3" t="s">
        <v>208</v>
      </c>
      <c r="D6" s="400">
        <v>3.2000000000000001E-2</v>
      </c>
      <c r="E6"/>
      <c r="F6"/>
      <c r="G6"/>
      <c r="H6"/>
      <c r="J6"/>
      <c r="K6" s="231" t="s">
        <v>224</v>
      </c>
      <c r="L6" s="54"/>
      <c r="M6" s="49"/>
      <c r="N6" s="235" t="s">
        <v>320</v>
      </c>
      <c r="O6" s="306" t="str">
        <f>IF(F25&gt;F26,"&gt;","&lt;")</f>
        <v>&gt;</v>
      </c>
      <c r="P6" s="305" t="s">
        <v>321</v>
      </c>
      <c r="Q6" s="3"/>
    </row>
    <row r="7" spans="1:17" ht="18.75" x14ac:dyDescent="0.35">
      <c r="A7" s="184"/>
      <c r="B7" s="3" t="s">
        <v>396</v>
      </c>
      <c r="C7" s="3" t="s">
        <v>395</v>
      </c>
      <c r="D7" s="401">
        <f>D6+E21/2000</f>
        <v>0.04</v>
      </c>
      <c r="E7"/>
      <c r="F7"/>
      <c r="G7"/>
      <c r="H7"/>
      <c r="J7"/>
      <c r="K7" s="61"/>
      <c r="L7" s="50" t="s">
        <v>220</v>
      </c>
      <c r="M7" s="241">
        <v>90</v>
      </c>
      <c r="P7" s="55"/>
      <c r="Q7" s="3"/>
    </row>
    <row r="8" spans="1:17" x14ac:dyDescent="0.25">
      <c r="A8" s="295" t="s">
        <v>202</v>
      </c>
      <c r="B8"/>
      <c r="C8" s="3" t="s">
        <v>201</v>
      </c>
      <c r="D8"/>
      <c r="F8" s="3"/>
      <c r="G8"/>
      <c r="H8"/>
      <c r="J8"/>
      <c r="K8" s="61"/>
      <c r="L8" s="50" t="s">
        <v>221</v>
      </c>
      <c r="M8" s="241">
        <v>45</v>
      </c>
      <c r="P8" s="55"/>
      <c r="Q8" s="3"/>
    </row>
    <row r="9" spans="1:17" x14ac:dyDescent="0.25">
      <c r="A9" s="388"/>
      <c r="B9"/>
      <c r="F9" s="3"/>
      <c r="G9"/>
      <c r="H9"/>
      <c r="J9"/>
      <c r="K9" s="61"/>
      <c r="L9" s="54"/>
      <c r="M9" s="240"/>
      <c r="N9" s="3"/>
      <c r="O9" s="55"/>
      <c r="P9" s="55"/>
      <c r="Q9" s="3"/>
    </row>
    <row r="10" spans="1:17" ht="18.75" x14ac:dyDescent="0.35">
      <c r="A10" s="388"/>
      <c r="B10" s="56"/>
      <c r="C10" s="52" t="s">
        <v>7</v>
      </c>
      <c r="D10" s="195" t="s">
        <v>9</v>
      </c>
      <c r="E10" s="232" t="s">
        <v>67</v>
      </c>
      <c r="F10" s="233">
        <f>INDEX('Tablas EHE'!H3:H4,MATCH($B$14,'Tablas EHE'!$G$3:$G$4,0))</f>
        <v>1.5</v>
      </c>
      <c r="G10"/>
      <c r="H10"/>
      <c r="K10" s="61"/>
      <c r="L10" s="345" t="s">
        <v>222</v>
      </c>
      <c r="M10" s="356">
        <v>1</v>
      </c>
      <c r="N10" s="350" t="s">
        <v>198</v>
      </c>
      <c r="O10" s="356">
        <v>0.5</v>
      </c>
      <c r="P10" s="55"/>
      <c r="Q10" s="3"/>
    </row>
    <row r="11" spans="1:17" ht="18.75" x14ac:dyDescent="0.35">
      <c r="A11" s="388"/>
      <c r="B11" s="59"/>
      <c r="C11" s="3" t="s">
        <v>85</v>
      </c>
      <c r="D11" s="204">
        <f>INDEX('Tablas EHE'!$B$2:$B$7,MATCH($D$10,'Tablas EHE'!$A$2:$A$7,0))</f>
        <v>25</v>
      </c>
      <c r="E11" s="3" t="s">
        <v>86</v>
      </c>
      <c r="F11" s="206">
        <f>$D$11/$F$10</f>
        <v>16.666666666666668</v>
      </c>
      <c r="G11"/>
      <c r="H11"/>
      <c r="K11" s="61"/>
      <c r="L11" s="3" t="s">
        <v>223</v>
      </c>
      <c r="M11" s="292">
        <f>M10*0.6*F11*M4*Q4*O10*1000</f>
        <v>780</v>
      </c>
      <c r="N11" s="3"/>
      <c r="O11" s="55" t="str">
        <f>IF(M11&gt;F25,"OK","Aumentar dimension de la seccion")</f>
        <v>OK</v>
      </c>
      <c r="P11" s="55"/>
      <c r="Q11" s="3"/>
    </row>
    <row r="12" spans="1:17" ht="18.75" x14ac:dyDescent="0.35">
      <c r="A12" s="388"/>
      <c r="B12" s="3"/>
      <c r="C12" s="3" t="s">
        <v>209</v>
      </c>
      <c r="D12" s="259">
        <f>8500*((D11+8)^(1/3))</f>
        <v>27264.041804964527</v>
      </c>
      <c r="F12" s="260"/>
      <c r="G12"/>
      <c r="H12"/>
      <c r="K12" s="61"/>
      <c r="N12" s="235" t="s">
        <v>226</v>
      </c>
      <c r="P12" s="55"/>
      <c r="Q12" s="3"/>
    </row>
    <row r="13" spans="1:17" ht="18.75" x14ac:dyDescent="0.35">
      <c r="A13" s="365" t="s">
        <v>18</v>
      </c>
      <c r="C13"/>
      <c r="D13"/>
      <c r="E13" s="262"/>
      <c r="F13"/>
      <c r="G13"/>
      <c r="H13"/>
      <c r="K13" s="231" t="s">
        <v>225</v>
      </c>
      <c r="L13" s="54"/>
      <c r="M13" s="49"/>
      <c r="N13" s="235" t="s">
        <v>321</v>
      </c>
      <c r="O13" s="307" t="str">
        <f>IF(M16&gt;F26,"&gt;","&lt;")</f>
        <v>&lt;</v>
      </c>
      <c r="P13" s="305" t="s">
        <v>322</v>
      </c>
      <c r="Q13" s="3"/>
    </row>
    <row r="14" spans="1:17" x14ac:dyDescent="0.25">
      <c r="A14" s="388"/>
      <c r="B14" s="234" t="s">
        <v>19</v>
      </c>
      <c r="C14"/>
      <c r="D14"/>
      <c r="F14"/>
      <c r="G14"/>
      <c r="H14"/>
      <c r="J14"/>
      <c r="K14" s="344"/>
      <c r="L14" s="345" t="s">
        <v>227</v>
      </c>
      <c r="M14" s="346" t="s">
        <v>228</v>
      </c>
      <c r="N14" s="347"/>
      <c r="O14" s="348"/>
      <c r="P14" s="348"/>
      <c r="Q14" s="3"/>
    </row>
    <row r="15" spans="1:17" ht="18.75" x14ac:dyDescent="0.35">
      <c r="A15" s="388"/>
      <c r="C15" s="52" t="s">
        <v>16</v>
      </c>
      <c r="D15" s="195" t="s">
        <v>15</v>
      </c>
      <c r="E15" s="232" t="s">
        <v>68</v>
      </c>
      <c r="F15" s="233">
        <f>INDEX('Tablas EHE'!I3:I4,MATCH($B$14,'Tablas EHE'!$G$3:$G$4,0))</f>
        <v>1.1499999999999999</v>
      </c>
      <c r="G15"/>
      <c r="J15" s="49" t="s">
        <v>53</v>
      </c>
      <c r="K15" s="61"/>
      <c r="L15" s="3" t="s">
        <v>398</v>
      </c>
      <c r="M15" s="258">
        <f>IF((1+SQRT(200/(Q4*1000)))&gt;2,2,(1+SQRT(200/(Q4*1000))))</f>
        <v>1.8770580193070292</v>
      </c>
      <c r="N15" s="3"/>
      <c r="O15" s="345" t="s">
        <v>276</v>
      </c>
      <c r="P15" s="349">
        <v>1.32</v>
      </c>
      <c r="Q15" s="3"/>
    </row>
    <row r="16" spans="1:17" ht="18.75" x14ac:dyDescent="0.35">
      <c r="A16" s="184"/>
      <c r="C16" s="3" t="s">
        <v>66</v>
      </c>
      <c r="D16" s="205">
        <f>IF($D$15="B500S",'Tablas EHE'!$E$3,'Tablas EHE'!$E$2)</f>
        <v>500</v>
      </c>
      <c r="E16" s="3" t="s">
        <v>87</v>
      </c>
      <c r="F16" s="206">
        <f>+$D$16/$F$15</f>
        <v>434.78260869565219</v>
      </c>
      <c r="G16"/>
      <c r="K16" s="348"/>
      <c r="L16" s="3" t="s">
        <v>229</v>
      </c>
      <c r="M16" s="242">
        <f>IF(K16&gt;F26,K16,F26)</f>
        <v>350</v>
      </c>
      <c r="N16" s="3"/>
      <c r="O16" s="350" t="s">
        <v>198</v>
      </c>
      <c r="P16" s="351">
        <v>1</v>
      </c>
      <c r="Q16" s="3"/>
    </row>
    <row r="17" spans="1:17" ht="19.5" thickBot="1" x14ac:dyDescent="0.4">
      <c r="A17" s="184"/>
      <c r="B17" s="52" t="s">
        <v>37</v>
      </c>
      <c r="C17" s="3" t="s">
        <v>118</v>
      </c>
      <c r="D17" s="193">
        <v>200000</v>
      </c>
      <c r="E17" s="3" t="s">
        <v>265</v>
      </c>
      <c r="F17" s="206">
        <f>MIN(F16,400)</f>
        <v>400</v>
      </c>
      <c r="G17"/>
      <c r="K17" s="61"/>
      <c r="L17" s="3" t="s">
        <v>230</v>
      </c>
      <c r="M17" s="314">
        <f>(0.15/F10*M15*(100*H22/1000*D11)^0.33)*1000*M4*Q4*1</f>
        <v>61.907069171698438</v>
      </c>
      <c r="N17" s="3"/>
      <c r="O17" s="55" t="str">
        <f>IF(F25&lt;M16,"Armadura transversal no necesaria","Armadura transversal necesaria")</f>
        <v>Armadura transversal necesaria</v>
      </c>
      <c r="P17" s="55"/>
      <c r="Q17" s="3"/>
    </row>
    <row r="18" spans="1:17" ht="19.5" thickBot="1" x14ac:dyDescent="0.4">
      <c r="A18" s="184"/>
      <c r="B18"/>
      <c r="C18"/>
      <c r="D18"/>
      <c r="E18"/>
      <c r="F18"/>
      <c r="G18"/>
      <c r="H18"/>
      <c r="J18"/>
      <c r="K18" s="61"/>
      <c r="L18" s="3" t="s">
        <v>231</v>
      </c>
      <c r="M18" s="315">
        <f>IF(K16&gt;F26,0,M16-M17)</f>
        <v>288.09293082830158</v>
      </c>
      <c r="N18" s="3"/>
      <c r="O18" s="293" t="s">
        <v>232</v>
      </c>
      <c r="P18" s="341">
        <f>M18/(0.9*Q4*F17/10*(0+1)*SIN(PI()*M7/180))</f>
        <v>30.779159276527942</v>
      </c>
      <c r="Q18" s="3"/>
    </row>
    <row r="19" spans="1:17" x14ac:dyDescent="0.25">
      <c r="A19" s="388"/>
      <c r="B19"/>
      <c r="C19"/>
      <c r="D19"/>
      <c r="E19"/>
      <c r="F19"/>
      <c r="G19"/>
      <c r="H19"/>
      <c r="J19"/>
      <c r="K19" s="61"/>
      <c r="L19" s="54"/>
      <c r="M19" s="49"/>
      <c r="N19" s="3"/>
      <c r="O19" s="55"/>
      <c r="P19" s="55"/>
      <c r="Q19" s="3"/>
    </row>
    <row r="20" spans="1:17" x14ac:dyDescent="0.25">
      <c r="A20" s="295" t="s">
        <v>212</v>
      </c>
      <c r="K20" s="61"/>
      <c r="L20" s="54"/>
      <c r="M20" s="49"/>
      <c r="N20" s="3"/>
      <c r="O20" s="55"/>
      <c r="P20" s="55"/>
      <c r="Q20" s="3"/>
    </row>
    <row r="21" spans="1:17" x14ac:dyDescent="0.25">
      <c r="A21" s="388"/>
      <c r="C21" s="3" t="s">
        <v>210</v>
      </c>
      <c r="D21" s="237">
        <v>3</v>
      </c>
      <c r="E21" s="238">
        <v>16</v>
      </c>
      <c r="F21" s="55" t="s">
        <v>53</v>
      </c>
      <c r="G21" s="3" t="s">
        <v>216</v>
      </c>
      <c r="H21" s="239">
        <f>D21*PI()*(E21/20)^2</f>
        <v>6.0318578948924042</v>
      </c>
      <c r="K21" s="231" t="s">
        <v>233</v>
      </c>
      <c r="L21" s="54"/>
      <c r="M21" s="49"/>
      <c r="N21" s="3"/>
      <c r="O21" s="55"/>
      <c r="P21" s="55"/>
      <c r="Q21" s="3"/>
    </row>
    <row r="22" spans="1:17" ht="18.75" x14ac:dyDescent="0.35">
      <c r="A22" s="388"/>
      <c r="G22" s="3" t="s">
        <v>217</v>
      </c>
      <c r="H22" s="186">
        <f>H21/(M4*Q4)/10</f>
        <v>3.8665755736489773</v>
      </c>
      <c r="K22" s="61"/>
      <c r="L22" s="54"/>
      <c r="M22" s="50" t="s">
        <v>234</v>
      </c>
      <c r="N22" s="264">
        <v>12</v>
      </c>
      <c r="O22" s="55" t="s">
        <v>239</v>
      </c>
      <c r="P22" s="243">
        <v>200</v>
      </c>
      <c r="Q22" s="3"/>
    </row>
    <row r="23" spans="1:17" x14ac:dyDescent="0.25">
      <c r="A23" s="352" t="s">
        <v>211</v>
      </c>
      <c r="B23" s="353"/>
      <c r="C23" s="347" t="s">
        <v>210</v>
      </c>
      <c r="D23" s="354">
        <v>7</v>
      </c>
      <c r="E23" s="355">
        <v>16</v>
      </c>
      <c r="H23" s="294"/>
      <c r="K23" s="61"/>
      <c r="L23" s="54"/>
      <c r="M23" s="49"/>
      <c r="N23" s="3"/>
      <c r="O23" s="50" t="s">
        <v>238</v>
      </c>
      <c r="P23" s="244">
        <v>4</v>
      </c>
      <c r="Q23" s="3"/>
    </row>
    <row r="24" spans="1:17" ht="18.75" x14ac:dyDescent="0.35">
      <c r="A24" s="295" t="s">
        <v>213</v>
      </c>
      <c r="H24" s="261"/>
      <c r="K24" s="61"/>
      <c r="L24" s="54"/>
      <c r="N24" s="96" t="s">
        <v>235</v>
      </c>
      <c r="O24" s="52" t="s">
        <v>249</v>
      </c>
      <c r="P24" s="269" cm="1">
        <f t="array" ref="P24">INDEX('Tablas EHE'!H8:H15,MATCH(N22,'Tablas EHE'!G8:G15,0),)*P23/(P22/1000)</f>
        <v>22.599999999999998</v>
      </c>
      <c r="Q24" s="3" t="s">
        <v>53</v>
      </c>
    </row>
    <row r="25" spans="1:17" ht="18.75" x14ac:dyDescent="0.35">
      <c r="A25" s="388"/>
      <c r="E25" s="235" t="s">
        <v>214</v>
      </c>
      <c r="F25" s="236">
        <v>360</v>
      </c>
      <c r="K25" s="50" t="s">
        <v>236</v>
      </c>
      <c r="L25" s="54"/>
      <c r="N25" s="52" t="s">
        <v>237</v>
      </c>
      <c r="O25" s="52" t="s">
        <v>272</v>
      </c>
      <c r="P25" s="338">
        <f>(0.3*D11^(2/3))/F17*M4/7.5*SIN(PI()*M7/180)*10000</f>
        <v>5.1299278400300885</v>
      </c>
      <c r="Q25" s="58" t="str">
        <f>IF(P24&gt;MAX(P25,P18),"OK","No cumple")</f>
        <v>No cumple</v>
      </c>
    </row>
    <row r="26" spans="1:17" ht="18.75" x14ac:dyDescent="0.35">
      <c r="A26" s="388"/>
      <c r="E26" s="235" t="s">
        <v>215</v>
      </c>
      <c r="F26" s="236">
        <v>350</v>
      </c>
      <c r="G26" s="18"/>
      <c r="K26" s="61"/>
      <c r="L26" s="54"/>
      <c r="M26" s="49"/>
      <c r="N26" s="3" t="s">
        <v>240</v>
      </c>
      <c r="O26" s="3" t="s">
        <v>242</v>
      </c>
      <c r="P26" s="266">
        <f>2+P29</f>
        <v>4</v>
      </c>
      <c r="Q26" s="58" t="str">
        <f>IF(P23&gt;=P26,"OK","No cumple")</f>
        <v>OK</v>
      </c>
    </row>
    <row r="27" spans="1:17" x14ac:dyDescent="0.25">
      <c r="A27" s="388"/>
      <c r="B27"/>
      <c r="C27"/>
      <c r="D27"/>
      <c r="E27"/>
      <c r="G27"/>
      <c r="H27"/>
      <c r="J27"/>
      <c r="K27" s="61"/>
      <c r="L27" s="54"/>
      <c r="M27" s="49"/>
      <c r="N27" s="3" t="s">
        <v>241</v>
      </c>
      <c r="O27" s="3" t="s">
        <v>243</v>
      </c>
      <c r="P27" s="265">
        <f>IF(F25&lt;'Tablas EHE'!B31,'Tablas EHE'!E31,IF(F25&lt;'Tablas EHE'!B32,'Tablas EHE'!E32,'Tablas EHE'!E33))</f>
        <v>156</v>
      </c>
      <c r="Q27" s="58" t="str">
        <f>IF(P27&gt;P22,"OK","No cumple")</f>
        <v>No cumple</v>
      </c>
    </row>
    <row r="28" spans="1:17" x14ac:dyDescent="0.25">
      <c r="G28"/>
      <c r="H28"/>
      <c r="J28"/>
    </row>
    <row r="29" spans="1:17" x14ac:dyDescent="0.25">
      <c r="G29"/>
      <c r="H29"/>
      <c r="J29"/>
      <c r="O29" s="3" t="s">
        <v>268</v>
      </c>
      <c r="P29" s="339">
        <f>INT((M4-2*D6)*1000/MIN( Q4*1000,M4*1000))</f>
        <v>2</v>
      </c>
    </row>
    <row r="30" spans="1:17" x14ac:dyDescent="0.25">
      <c r="B30" s="96" t="s">
        <v>404</v>
      </c>
      <c r="C30" s="392">
        <v>1.395</v>
      </c>
      <c r="K30" s="231" t="s">
        <v>247</v>
      </c>
      <c r="N30" s="231"/>
    </row>
    <row r="31" spans="1:17" x14ac:dyDescent="0.25">
      <c r="A31" s="397" t="s">
        <v>405</v>
      </c>
      <c r="B31" s="398" t="s">
        <v>413</v>
      </c>
      <c r="C31" s="399" t="s">
        <v>412</v>
      </c>
      <c r="D31" s="399" t="s">
        <v>414</v>
      </c>
      <c r="E31" s="399" t="s">
        <v>415</v>
      </c>
      <c r="F31" s="399" t="s">
        <v>416</v>
      </c>
      <c r="G31" s="399" t="s">
        <v>417</v>
      </c>
      <c r="L31" s="1" t="s">
        <v>244</v>
      </c>
      <c r="M31" s="1" t="s">
        <v>248</v>
      </c>
      <c r="N31" s="265">
        <f>1/(P25/(P26*(INDEX('Tablas EHE'!H8:H15,MATCH(N22,'Tablas EHE'!G8:G15,0)))))*1000</f>
        <v>881.1040117814772</v>
      </c>
    </row>
    <row r="32" spans="1:17" x14ac:dyDescent="0.25">
      <c r="A32" s="393" t="s">
        <v>406</v>
      </c>
      <c r="B32" s="394">
        <v>-62.4</v>
      </c>
      <c r="C32" s="395">
        <f t="shared" ref="C32:C37" si="0">$C$30*B32</f>
        <v>-87.048000000000002</v>
      </c>
      <c r="D32" s="393">
        <v>8.4</v>
      </c>
      <c r="E32" s="393">
        <v>0</v>
      </c>
      <c r="F32" s="393">
        <v>5</v>
      </c>
      <c r="G32" s="393"/>
      <c r="H32" s="391"/>
      <c r="L32" s="1" t="s">
        <v>245</v>
      </c>
      <c r="M32" s="1" t="s">
        <v>248</v>
      </c>
      <c r="N32" s="265">
        <f>MIN(N31,P27)</f>
        <v>156</v>
      </c>
    </row>
    <row r="33" spans="1:16" x14ac:dyDescent="0.25">
      <c r="A33" s="393" t="s">
        <v>407</v>
      </c>
      <c r="B33" s="394">
        <v>66.900000000000006</v>
      </c>
      <c r="C33" s="395">
        <f t="shared" si="0"/>
        <v>93.325500000000005</v>
      </c>
      <c r="D33" s="393">
        <v>8.9</v>
      </c>
      <c r="E33" s="393">
        <v>0</v>
      </c>
      <c r="F33" s="393"/>
      <c r="G33" s="393"/>
      <c r="H33" s="391"/>
    </row>
    <row r="34" spans="1:16" ht="18.75" x14ac:dyDescent="0.35">
      <c r="A34" s="393" t="s">
        <v>408</v>
      </c>
      <c r="B34" s="394">
        <v>-93.6</v>
      </c>
      <c r="C34" s="395">
        <f t="shared" si="0"/>
        <v>-130.572</v>
      </c>
      <c r="D34" s="393">
        <v>13</v>
      </c>
      <c r="E34" s="393">
        <v>0</v>
      </c>
      <c r="F34" s="393"/>
      <c r="G34" s="393"/>
      <c r="H34" s="391"/>
      <c r="L34" s="268" t="s">
        <v>246</v>
      </c>
      <c r="M34" s="52" t="s">
        <v>249</v>
      </c>
      <c r="N34" s="337">
        <f>P26*(INDEX('Tablas EHE'!H8:H15,MATCH(N22,'Tablas EHE'!G8:G15,0)))/(N32/1000)</f>
        <v>28.974358974358971</v>
      </c>
      <c r="O34" s="271" t="str">
        <f>"   Cada "&amp;ROUND(N32,1)&amp;" mm"</f>
        <v xml:space="preserve">   Cada 156 mm</v>
      </c>
      <c r="P34" s="270"/>
    </row>
    <row r="35" spans="1:16" ht="18.75" x14ac:dyDescent="0.35">
      <c r="A35" s="393" t="s">
        <v>409</v>
      </c>
      <c r="B35" s="394">
        <v>-114.1</v>
      </c>
      <c r="C35" s="395">
        <f t="shared" si="0"/>
        <v>-159.1695</v>
      </c>
      <c r="D35" s="393">
        <v>16.5</v>
      </c>
      <c r="E35" s="393">
        <v>0</v>
      </c>
      <c r="F35" s="393"/>
      <c r="G35" s="393"/>
      <c r="H35" s="391"/>
      <c r="L35" s="268" t="s">
        <v>271</v>
      </c>
      <c r="M35" s="52" t="s">
        <v>269</v>
      </c>
      <c r="N35" s="331">
        <f>N34/10000*F17*1000*0.9*Q4</f>
        <v>271.2</v>
      </c>
    </row>
    <row r="36" spans="1:16" ht="18.75" x14ac:dyDescent="0.35">
      <c r="A36" s="393" t="s">
        <v>410</v>
      </c>
      <c r="B36" s="394">
        <v>63.4</v>
      </c>
      <c r="C36" s="395">
        <f t="shared" si="0"/>
        <v>88.442999999999998</v>
      </c>
      <c r="D36" s="393">
        <v>8.5</v>
      </c>
      <c r="E36" s="393">
        <v>0</v>
      </c>
      <c r="F36" s="393"/>
      <c r="G36" s="393"/>
      <c r="H36" s="391"/>
      <c r="L36" s="18"/>
      <c r="M36" s="52" t="s">
        <v>270</v>
      </c>
      <c r="N36" s="267">
        <f>+N35+M17</f>
        <v>333.10706917169841</v>
      </c>
    </row>
    <row r="37" spans="1:16" x14ac:dyDescent="0.25">
      <c r="A37" s="396" t="s">
        <v>411</v>
      </c>
      <c r="B37" s="394">
        <v>-95.1</v>
      </c>
      <c r="C37" s="395">
        <f t="shared" si="0"/>
        <v>-132.6645</v>
      </c>
      <c r="D37" s="393">
        <v>13.2</v>
      </c>
      <c r="E37" s="393">
        <v>0</v>
      </c>
      <c r="F37" s="393"/>
      <c r="G37" s="393"/>
      <c r="H37" s="391"/>
      <c r="P37" s="245"/>
    </row>
    <row r="38" spans="1:16" ht="5.25" customHeight="1" x14ac:dyDescent="0.25">
      <c r="B38" s="391"/>
      <c r="C38" s="391"/>
      <c r="D38" s="391"/>
      <c r="E38" s="391"/>
      <c r="F38" s="391"/>
      <c r="G38" s="391"/>
      <c r="H38" s="391"/>
    </row>
    <row r="39" spans="1:16" x14ac:dyDescent="0.25">
      <c r="B39" s="391"/>
      <c r="C39" s="391"/>
      <c r="D39" s="391"/>
      <c r="E39" s="391"/>
      <c r="F39" s="391"/>
      <c r="G39" s="391"/>
      <c r="H39" s="391"/>
    </row>
    <row r="40" spans="1:16" x14ac:dyDescent="0.25">
      <c r="B40" s="391"/>
      <c r="C40" s="391"/>
      <c r="D40" s="391"/>
      <c r="E40" s="391"/>
      <c r="F40" s="391"/>
      <c r="G40" s="391"/>
      <c r="H40" s="391"/>
    </row>
    <row r="41" spans="1:16" x14ac:dyDescent="0.25">
      <c r="B41" s="391"/>
      <c r="C41" s="391"/>
      <c r="D41" s="391"/>
      <c r="E41" s="391"/>
      <c r="F41" s="391"/>
      <c r="G41" s="391"/>
      <c r="H41" s="391"/>
    </row>
    <row r="42" spans="1:16" x14ac:dyDescent="0.25">
      <c r="B42" s="391"/>
      <c r="C42" s="391"/>
      <c r="D42" s="391"/>
      <c r="E42" s="391"/>
      <c r="F42" s="391"/>
      <c r="G42" s="391"/>
      <c r="H42" s="391"/>
    </row>
    <row r="43" spans="1:16" x14ac:dyDescent="0.25">
      <c r="B43" s="391"/>
      <c r="C43" s="391"/>
      <c r="D43" s="391"/>
      <c r="E43" s="391"/>
      <c r="F43" s="391"/>
      <c r="G43" s="391"/>
      <c r="H43" s="391"/>
    </row>
    <row r="44" spans="1:16" x14ac:dyDescent="0.25">
      <c r="B44" s="391"/>
      <c r="C44" s="391"/>
      <c r="D44" s="391"/>
      <c r="E44" s="391"/>
      <c r="F44" s="391"/>
      <c r="G44" s="391"/>
      <c r="H44" s="391"/>
    </row>
    <row r="45" spans="1:16" x14ac:dyDescent="0.25">
      <c r="B45" s="391"/>
      <c r="C45" s="391"/>
      <c r="D45" s="391"/>
      <c r="E45" s="391"/>
      <c r="F45" s="391"/>
      <c r="G45" s="391"/>
      <c r="H45" s="391"/>
    </row>
    <row r="46" spans="1:16" x14ac:dyDescent="0.25">
      <c r="B46" s="391"/>
      <c r="C46" s="391"/>
      <c r="D46" s="391"/>
      <c r="E46" s="391"/>
      <c r="F46" s="391"/>
      <c r="G46" s="391"/>
      <c r="H46" s="391"/>
    </row>
    <row r="47" spans="1:16" x14ac:dyDescent="0.25">
      <c r="B47" s="391"/>
      <c r="C47" s="391"/>
      <c r="D47" s="391"/>
      <c r="E47" s="391"/>
      <c r="F47" s="391"/>
      <c r="G47" s="391"/>
      <c r="H47" s="391"/>
    </row>
    <row r="48" spans="1:16" x14ac:dyDescent="0.25">
      <c r="B48" s="391"/>
      <c r="C48" s="391"/>
      <c r="D48" s="391"/>
      <c r="E48" s="391"/>
      <c r="F48" s="391"/>
      <c r="G48" s="391"/>
      <c r="H48" s="391"/>
    </row>
    <row r="49" spans="2:8" x14ac:dyDescent="0.25">
      <c r="B49" s="391"/>
      <c r="C49" s="391"/>
      <c r="D49" s="391"/>
      <c r="E49" s="391"/>
      <c r="F49" s="391"/>
      <c r="G49" s="391"/>
      <c r="H49" s="391"/>
    </row>
  </sheetData>
  <sheetProtection selectLockedCells="1"/>
  <dataConsolidate/>
  <conditionalFormatting sqref="Q25:Q27">
    <cfRule type="cellIs" dxfId="12" priority="6" operator="equal">
      <formula>"No cumple"</formula>
    </cfRule>
    <cfRule type="cellIs" dxfId="11" priority="7" operator="equal">
      <formula>"no valido"</formula>
    </cfRule>
    <cfRule type="cellIs" dxfId="10" priority="8" operator="equal">
      <formula>"OK"</formula>
    </cfRule>
  </conditionalFormatting>
  <conditionalFormatting sqref="O11">
    <cfRule type="cellIs" dxfId="9" priority="11" operator="equal">
      <formula>"no valido"</formula>
    </cfRule>
    <cfRule type="cellIs" dxfId="8" priority="12" operator="equal">
      <formula>"OK"</formula>
    </cfRule>
  </conditionalFormatting>
  <conditionalFormatting sqref="O17">
    <cfRule type="cellIs" dxfId="7" priority="9" operator="equal">
      <formula>"Armadura transversal necesaria"</formula>
    </cfRule>
    <cfRule type="cellIs" dxfId="6" priority="10" operator="equal">
      <formula>"Armadura transversal no necesaria"</formula>
    </cfRule>
  </conditionalFormatting>
  <conditionalFormatting sqref="O6">
    <cfRule type="cellIs" dxfId="5" priority="2" operator="equal">
      <formula>"&gt;"</formula>
    </cfRule>
    <cfRule type="cellIs" dxfId="4" priority="3" operator="equal">
      <formula>"&lt;"</formula>
    </cfRule>
  </conditionalFormatting>
  <conditionalFormatting sqref="D2:E2">
    <cfRule type="expression" dxfId="3" priority="1">
      <formula>$F$25&gt;$M$11</formula>
    </cfRule>
  </conditionalFormatting>
  <dataValidations disablePrompts="1" count="1">
    <dataValidation type="list" allowBlank="1" showInputMessage="1" showErrorMessage="1" sqref="E21 E23 N22" xr:uid="{47F2735B-9188-46AB-863A-25DD812D9D96}">
      <formula1>Diámetros</formula1>
    </dataValidation>
  </dataValidations>
  <pageMargins left="0.25" right="0.25" top="0.75" bottom="0.75" header="0.3" footer="0.3"/>
  <pageSetup paperSize="9" scale="84" fitToWidth="0" orientation="portrait" r:id="rId1"/>
  <headerFooter>
    <oddHeader>&amp;LPablo Hernández Zamora
&amp;D
&amp;T&amp;CGrupo: ADE&amp;R&amp;F
&amp;A</oddHeader>
    <oddFooter>&amp;R&amp;P de &amp;N
&amp;A</oddFooter>
  </headerFooter>
  <colBreaks count="2" manualBreakCount="2">
    <brk id="9" max="37" man="1"/>
    <brk id="18" max="1048575" man="1"/>
  </colBreaks>
  <drawing r:id="rId2"/>
  <legacyDrawing r:id="rId3"/>
  <controls>
    <mc:AlternateContent xmlns:mc="http://schemas.openxmlformats.org/markup-compatibility/2006">
      <mc:Choice Requires="x14">
        <control shapeId="11269" r:id="rId4" name="CheckBox1">
          <controlPr defaultSize="0" autoLine="0" r:id="rId5">
            <anchor moveWithCells="1">
              <from>
                <xdr:col>11</xdr:col>
                <xdr:colOff>161925</xdr:colOff>
                <xdr:row>24</xdr:row>
                <xdr:rowOff>9525</xdr:rowOff>
              </from>
              <to>
                <xdr:col>11</xdr:col>
                <xdr:colOff>523875</xdr:colOff>
                <xdr:row>25</xdr:row>
                <xdr:rowOff>38100</xdr:rowOff>
              </to>
            </anchor>
          </controlPr>
        </control>
      </mc:Choice>
      <mc:Fallback>
        <control shapeId="11269" r:id="rId4" name="CheckBox1"/>
      </mc:Fallback>
    </mc:AlternateContent>
    <mc:AlternateContent xmlns:mc="http://schemas.openxmlformats.org/markup-compatibility/2006">
      <mc:Choice Requires="x14">
        <control shapeId="11276" r:id="rId6" name="CommandButton1">
          <controlPr defaultSize="0" autoLine="0" r:id="rId7">
            <anchor moveWithCells="1">
              <from>
                <xdr:col>2</xdr:col>
                <xdr:colOff>219075</xdr:colOff>
                <xdr:row>0</xdr:row>
                <xdr:rowOff>57150</xdr:rowOff>
              </from>
              <to>
                <xdr:col>4</xdr:col>
                <xdr:colOff>66675</xdr:colOff>
                <xdr:row>2</xdr:row>
                <xdr:rowOff>133350</xdr:rowOff>
              </to>
            </anchor>
          </controlPr>
        </control>
      </mc:Choice>
      <mc:Fallback>
        <control shapeId="11276" r:id="rId6" name="CommandButton1"/>
      </mc:Fallback>
    </mc:AlternateContent>
    <mc:AlternateContent xmlns:mc="http://schemas.openxmlformats.org/markup-compatibility/2006">
      <mc:Choice Requires="x14">
        <control shapeId="11277" r:id="rId8" name="Croquis">
          <controlPr defaultSize="0" autoFill="0" autoPict="0" macro="[0]!CroquisCortante.CroquisCortante">
            <anchor moveWithCells="1">
              <from>
                <xdr:col>4</xdr:col>
                <xdr:colOff>171450</xdr:colOff>
                <xdr:row>5</xdr:row>
                <xdr:rowOff>85725</xdr:rowOff>
              </from>
              <to>
                <xdr:col>5</xdr:col>
                <xdr:colOff>676275</xdr:colOff>
                <xdr:row>7</xdr:row>
                <xdr:rowOff>114300</xdr:rowOff>
              </to>
            </anchor>
          </controlPr>
        </control>
      </mc:Choice>
    </mc:AlternateContent>
    <mc:AlternateContent xmlns:mc="http://schemas.openxmlformats.org/markup-compatibility/2006">
      <mc:Choice Requires="x14">
        <control shapeId="11279" r:id="rId9" name="AA_Limpiar">
          <controlPr defaultSize="0" autoFill="0" autoPict="0" macro="[0]!BorrarTodos">
            <anchor moveWithCells="1">
              <from>
                <xdr:col>5</xdr:col>
                <xdr:colOff>752475</xdr:colOff>
                <xdr:row>5</xdr:row>
                <xdr:rowOff>85725</xdr:rowOff>
              </from>
              <to>
                <xdr:col>6</xdr:col>
                <xdr:colOff>400050</xdr:colOff>
                <xdr:row>7</xdr:row>
                <xdr:rowOff>104775</xdr:rowOff>
              </to>
            </anchor>
          </controlPr>
        </control>
      </mc:Choice>
    </mc:AlternateContent>
  </control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F7C0B837-C980-4159-8579-3EC1AA3F6DC7}">
          <x14:formula1>
            <xm:f>'Tablas EHE'!$G$3:$G$4</xm:f>
          </x14:formula1>
          <xm:sqref>B14</xm:sqref>
        </x14:dataValidation>
        <x14:dataValidation type="list" allowBlank="1" showInputMessage="1" showErrorMessage="1" xr:uid="{024467E9-AADE-4DC2-8EBA-584C7C25BABA}">
          <x14:formula1>
            <xm:f>'Tablas EHE'!$A$2:$A$7</xm:f>
          </x14:formula1>
          <xm:sqref>D10</xm:sqref>
        </x14:dataValidation>
        <x14:dataValidation type="list" allowBlank="1" showInputMessage="1" showErrorMessage="1" xr:uid="{B143663B-11B9-417F-A6C6-60C1BC3EFE8B}">
          <x14:formula1>
            <xm:f>'Tablas EHE'!$D$2:$D$3</xm:f>
          </x14:formula1>
          <xm:sqref>D15</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6B562-76AF-47E6-A752-E6210826B088}">
  <sheetPr codeName="Hoja10"/>
  <dimension ref="A1:I72"/>
  <sheetViews>
    <sheetView showGridLines="0" zoomScale="70" zoomScaleNormal="70" zoomScaleSheetLayoutView="85" zoomScalePageLayoutView="25" workbookViewId="0">
      <selection activeCell="H25" sqref="H25"/>
    </sheetView>
  </sheetViews>
  <sheetFormatPr defaultColWidth="11.42578125" defaultRowHeight="15.75" x14ac:dyDescent="0.25"/>
  <cols>
    <col min="1" max="1" width="19.85546875" style="247" customWidth="1"/>
    <col min="2" max="2" width="13.28515625" style="295" customWidth="1"/>
    <col min="3" max="3" width="20.140625" style="50" bestFit="1" customWidth="1"/>
    <col min="4" max="4" width="7.42578125" style="49" customWidth="1"/>
    <col min="5" max="5" width="15.5703125" style="4" bestFit="1" customWidth="1"/>
    <col min="6" max="6" width="7.85546875" style="3" bestFit="1" customWidth="1"/>
    <col min="7" max="7" width="7.7109375" style="55" customWidth="1"/>
    <col min="8" max="8" width="19" style="55" customWidth="1"/>
    <col min="9" max="9" width="1.85546875" style="3" customWidth="1"/>
    <col min="20" max="20" width="11.42578125" customWidth="1"/>
    <col min="21" max="21" width="2.42578125" customWidth="1"/>
  </cols>
  <sheetData>
    <row r="1" spans="1:9" ht="42.75" customHeight="1" x14ac:dyDescent="0.25">
      <c r="I1"/>
    </row>
    <row r="2" spans="1:9" x14ac:dyDescent="0.25">
      <c r="A2" s="247" t="s">
        <v>353</v>
      </c>
      <c r="D2" s="55" t="str">
        <f>IF(E47&gt;E9,"NO CUMPLE!.Necesario redisposicion de armaduras","")</f>
        <v/>
      </c>
      <c r="F2" s="55"/>
      <c r="H2" s="3"/>
      <c r="I2"/>
    </row>
    <row r="3" spans="1:9" x14ac:dyDescent="0.25">
      <c r="F3" s="55"/>
      <c r="H3" s="3"/>
      <c r="I3"/>
    </row>
    <row r="4" spans="1:9" x14ac:dyDescent="0.25">
      <c r="A4" s="56" t="s">
        <v>354</v>
      </c>
      <c r="B4" s="56"/>
      <c r="D4" s="3" t="s">
        <v>385</v>
      </c>
      <c r="E4" s="192">
        <f>+'Flexión simple'!F4</f>
        <v>0.4</v>
      </c>
      <c r="F4" s="55"/>
      <c r="G4" s="58" t="s">
        <v>53</v>
      </c>
      <c r="I4"/>
    </row>
    <row r="5" spans="1:9" ht="18.75" x14ac:dyDescent="0.35">
      <c r="D5" s="3" t="s">
        <v>386</v>
      </c>
      <c r="E5" s="192">
        <f>+'Flexión simple'!F3</f>
        <v>0.6</v>
      </c>
      <c r="F5" s="55"/>
      <c r="G5" s="3" t="s">
        <v>118</v>
      </c>
      <c r="H5" s="193">
        <v>200000</v>
      </c>
      <c r="I5"/>
    </row>
    <row r="6" spans="1:9" x14ac:dyDescent="0.25">
      <c r="D6" s="50"/>
      <c r="E6" s="49"/>
      <c r="F6" s="55"/>
      <c r="G6" s="3"/>
      <c r="I6"/>
    </row>
    <row r="7" spans="1:9" ht="18.75" x14ac:dyDescent="0.35">
      <c r="B7" s="231" t="s">
        <v>393</v>
      </c>
      <c r="C7" s="56"/>
      <c r="D7" s="3" t="s">
        <v>355</v>
      </c>
      <c r="E7" s="70">
        <v>260</v>
      </c>
      <c r="F7" s="55"/>
      <c r="G7" s="3" t="s">
        <v>209</v>
      </c>
      <c r="H7" s="318">
        <f>8500*((E11+8)^(1/3))</f>
        <v>27264.041804964527</v>
      </c>
      <c r="I7"/>
    </row>
    <row r="8" spans="1:9" x14ac:dyDescent="0.25">
      <c r="D8" s="50"/>
      <c r="E8" s="49" t="s">
        <v>53</v>
      </c>
      <c r="F8" s="55"/>
      <c r="G8" s="3" t="s">
        <v>359</v>
      </c>
      <c r="H8" s="373">
        <f>H5/H7</f>
        <v>7.3356695031028698</v>
      </c>
      <c r="I8"/>
    </row>
    <row r="9" spans="1:9" ht="18.75" x14ac:dyDescent="0.35">
      <c r="B9" s="56" t="s">
        <v>356</v>
      </c>
      <c r="D9" s="3" t="s">
        <v>357</v>
      </c>
      <c r="E9" s="317">
        <v>0.2</v>
      </c>
      <c r="F9" s="55"/>
      <c r="I9"/>
    </row>
    <row r="10" spans="1:9" x14ac:dyDescent="0.25">
      <c r="D10" s="50"/>
      <c r="E10" s="49"/>
      <c r="I10"/>
    </row>
    <row r="11" spans="1:9" ht="18.75" x14ac:dyDescent="0.35">
      <c r="A11" s="56" t="s">
        <v>358</v>
      </c>
      <c r="B11" s="52" t="s">
        <v>7</v>
      </c>
      <c r="C11" s="195" t="s">
        <v>9</v>
      </c>
      <c r="D11" s="3" t="s">
        <v>85</v>
      </c>
      <c r="E11" s="204">
        <f>INDEX('Tablas EHE'!$B$2:$B$7,MATCH(C11,'Tablas EHE'!$A$2:$A$7,0))</f>
        <v>25</v>
      </c>
      <c r="G11" s="322"/>
      <c r="I11"/>
    </row>
    <row r="12" spans="1:9" ht="18.75" x14ac:dyDescent="0.35">
      <c r="C12" s="96" t="s">
        <v>397</v>
      </c>
      <c r="D12" s="3" t="s">
        <v>208</v>
      </c>
      <c r="E12" s="192">
        <v>0.03</v>
      </c>
      <c r="F12"/>
      <c r="G12" s="323"/>
    </row>
    <row r="13" spans="1:9" ht="18.75" x14ac:dyDescent="0.35">
      <c r="B13" s="52" t="s">
        <v>16</v>
      </c>
      <c r="C13" s="195" t="s">
        <v>15</v>
      </c>
      <c r="D13" s="3" t="s">
        <v>66</v>
      </c>
      <c r="E13" s="205">
        <f>IF($C$13="B500S",'Tablas EHE'!$E$3,'Tablas EHE'!$E$2)</f>
        <v>500</v>
      </c>
      <c r="G13" s="324"/>
      <c r="H13"/>
      <c r="I13"/>
    </row>
    <row r="14" spans="1:9" x14ac:dyDescent="0.25">
      <c r="A14" s="5"/>
      <c r="B14" s="50"/>
      <c r="C14"/>
      <c r="D14"/>
      <c r="E14"/>
      <c r="F14"/>
      <c r="G14" s="268" t="s">
        <v>399</v>
      </c>
      <c r="H14" s="364">
        <v>1</v>
      </c>
      <c r="I14"/>
    </row>
    <row r="15" spans="1:9" x14ac:dyDescent="0.25">
      <c r="E15"/>
      <c r="F15"/>
      <c r="G15"/>
      <c r="H15"/>
      <c r="I15"/>
    </row>
    <row r="16" spans="1:9" x14ac:dyDescent="0.25">
      <c r="A16" s="56" t="s">
        <v>360</v>
      </c>
      <c r="D16" s="50" t="s">
        <v>361</v>
      </c>
      <c r="E16" s="327">
        <v>2</v>
      </c>
      <c r="F16"/>
      <c r="H16" s="340"/>
      <c r="I16" s="50"/>
    </row>
    <row r="17" spans="1:9" ht="18" x14ac:dyDescent="0.35">
      <c r="A17" s="5"/>
      <c r="B17"/>
      <c r="C17"/>
      <c r="D17" s="1" t="s">
        <v>362</v>
      </c>
      <c r="E17" s="238">
        <f>+'Flexión simple'!E46</f>
        <v>25</v>
      </c>
      <c r="F17"/>
      <c r="G17"/>
      <c r="H17"/>
    </row>
    <row r="18" spans="1:9" ht="15" customHeight="1" x14ac:dyDescent="0.25">
      <c r="A18" s="5"/>
      <c r="B18"/>
      <c r="C18"/>
      <c r="D18" s="1" t="s">
        <v>363</v>
      </c>
      <c r="E18" s="327">
        <v>5</v>
      </c>
      <c r="F18"/>
      <c r="G18"/>
      <c r="H18"/>
    </row>
    <row r="19" spans="1:9" x14ac:dyDescent="0.25">
      <c r="A19" s="5"/>
      <c r="B19"/>
      <c r="C19"/>
      <c r="D19" s="1" t="s">
        <v>364</v>
      </c>
      <c r="E19" s="374">
        <f>(E4*1000-2*(E12*1000+E26)-E17)/(E18-1)</f>
        <v>72.75</v>
      </c>
      <c r="F19"/>
      <c r="G19"/>
      <c r="H19"/>
    </row>
    <row r="20" spans="1:9" x14ac:dyDescent="0.25">
      <c r="A20" s="5"/>
      <c r="B20"/>
      <c r="C20"/>
      <c r="D20" s="1" t="s">
        <v>381</v>
      </c>
      <c r="E20" s="375">
        <f>E16*E18*PI()*(E17/20)^2</f>
        <v>49.087385212340514</v>
      </c>
      <c r="F20"/>
      <c r="G20"/>
      <c r="H20"/>
    </row>
    <row r="21" spans="1:9" x14ac:dyDescent="0.25">
      <c r="A21" s="5"/>
      <c r="B21"/>
      <c r="C21"/>
      <c r="D21" s="1" t="s">
        <v>382</v>
      </c>
      <c r="E21" s="376">
        <f>E5*1000-E22</f>
        <v>533</v>
      </c>
      <c r="F21"/>
      <c r="G21"/>
      <c r="H21"/>
    </row>
    <row r="22" spans="1:9" x14ac:dyDescent="0.25">
      <c r="A22" s="5"/>
      <c r="B22"/>
      <c r="C22"/>
      <c r="D22" s="1" t="s">
        <v>365</v>
      </c>
      <c r="E22" s="376">
        <f>E12*1000+E26+(E17*E16+E25*(E16-1))/2</f>
        <v>67</v>
      </c>
      <c r="F22"/>
      <c r="G22"/>
      <c r="H22"/>
    </row>
    <row r="23" spans="1:9" ht="15" customHeight="1" x14ac:dyDescent="0.25">
      <c r="A23" s="5"/>
      <c r="B23"/>
      <c r="C23"/>
      <c r="D23" s="1" t="s">
        <v>366</v>
      </c>
      <c r="E23" s="377">
        <f>E20/(E4*E21*10)</f>
        <v>2.3024101881960843E-2</v>
      </c>
      <c r="F23"/>
      <c r="G23"/>
      <c r="H23"/>
    </row>
    <row r="24" spans="1:9" ht="15" customHeight="1" x14ac:dyDescent="0.25">
      <c r="A24" s="5"/>
      <c r="B24"/>
      <c r="C24"/>
      <c r="D24"/>
      <c r="E24"/>
      <c r="F24"/>
      <c r="G24"/>
      <c r="H24"/>
      <c r="I24"/>
    </row>
    <row r="25" spans="1:9" x14ac:dyDescent="0.25">
      <c r="A25" s="5"/>
      <c r="B25"/>
      <c r="C25"/>
      <c r="D25" s="1" t="s">
        <v>367</v>
      </c>
      <c r="E25" s="319">
        <v>0</v>
      </c>
      <c r="F25"/>
      <c r="G25"/>
      <c r="H25"/>
      <c r="I25"/>
    </row>
    <row r="26" spans="1:9" ht="18" customHeight="1" x14ac:dyDescent="0.35">
      <c r="A26" s="5"/>
      <c r="B26"/>
      <c r="C26"/>
      <c r="D26" s="1" t="s">
        <v>368</v>
      </c>
      <c r="E26" s="319">
        <v>12</v>
      </c>
      <c r="F26"/>
      <c r="G26"/>
      <c r="H26"/>
      <c r="I26"/>
    </row>
    <row r="27" spans="1:9" ht="15" customHeight="1" x14ac:dyDescent="0.25">
      <c r="A27" s="5"/>
      <c r="B27"/>
      <c r="C27"/>
      <c r="D27"/>
      <c r="E27"/>
      <c r="F27"/>
      <c r="G27"/>
      <c r="H27"/>
      <c r="I27"/>
    </row>
    <row r="28" spans="1:9" ht="18.75" x14ac:dyDescent="0.35">
      <c r="A28" s="1" t="s">
        <v>369</v>
      </c>
      <c r="B28" s="1" t="s">
        <v>370</v>
      </c>
      <c r="C28" s="320" t="s">
        <v>371</v>
      </c>
      <c r="D28" s="3" t="s">
        <v>372</v>
      </c>
      <c r="E28" s="311">
        <v>0.125</v>
      </c>
      <c r="F28"/>
    </row>
    <row r="29" spans="1:9" x14ac:dyDescent="0.25">
      <c r="A29" s="5"/>
      <c r="B29"/>
      <c r="C29"/>
      <c r="D29"/>
      <c r="E29"/>
      <c r="F29"/>
    </row>
    <row r="30" spans="1:9" x14ac:dyDescent="0.25">
      <c r="A30" s="5"/>
      <c r="B30"/>
      <c r="C30"/>
      <c r="D30" s="1" t="s">
        <v>373</v>
      </c>
      <c r="E30" s="234" t="s">
        <v>374</v>
      </c>
      <c r="F30" s="3" t="s">
        <v>323</v>
      </c>
      <c r="G30" s="321">
        <f>INDEX('Tablas EHE'!H18:H19,MATCH(E30,'Tablas EHE'!G18:G19,0))</f>
        <v>1.7</v>
      </c>
      <c r="H30"/>
      <c r="I30"/>
    </row>
    <row r="31" spans="1:9" ht="18.75" x14ac:dyDescent="0.35">
      <c r="A31" s="328" t="s">
        <v>352</v>
      </c>
      <c r="B31" s="316"/>
      <c r="D31"/>
      <c r="E31" s="234" t="s">
        <v>19</v>
      </c>
      <c r="F31" s="3" t="s">
        <v>375</v>
      </c>
      <c r="G31" s="321">
        <f>IF(E31="Permanente",0.5,1)</f>
        <v>0.5</v>
      </c>
      <c r="H31"/>
    </row>
    <row r="33" spans="3:9" ht="18.75" x14ac:dyDescent="0.35">
      <c r="C33" s="50" t="s">
        <v>389</v>
      </c>
      <c r="D33" s="3" t="s">
        <v>346</v>
      </c>
      <c r="E33" s="378">
        <f>MIN(E5/2*1000,(7.5*E17+E22))*E4*1000/100</f>
        <v>1018.0000000000001</v>
      </c>
      <c r="F33"/>
      <c r="G33" s="4"/>
    </row>
    <row r="34" spans="3:9" ht="18.75" x14ac:dyDescent="0.35">
      <c r="C34" s="50" t="s">
        <v>333</v>
      </c>
      <c r="D34" s="3" t="s">
        <v>347</v>
      </c>
      <c r="E34" s="379">
        <f>2*(E26+E12*1000)+0.2*MIN(E19,15*E17)+0.4*E28*E17*E33/E20</f>
        <v>124.47315713080792</v>
      </c>
      <c r="F34"/>
      <c r="G34" s="4"/>
    </row>
    <row r="35" spans="3:9" ht="18.75" x14ac:dyDescent="0.35">
      <c r="C35" s="50" t="s">
        <v>334</v>
      </c>
      <c r="D35" s="3" t="s">
        <v>348</v>
      </c>
      <c r="E35" s="380">
        <f>1/12*E4*E5^3</f>
        <v>7.1999999999999998E-3</v>
      </c>
      <c r="F35"/>
      <c r="G35" s="4"/>
    </row>
    <row r="36" spans="3:9" x14ac:dyDescent="0.25">
      <c r="C36" s="50" t="s">
        <v>335</v>
      </c>
      <c r="D36" s="3" t="s">
        <v>345</v>
      </c>
      <c r="E36" s="381">
        <f>(E23*H8*E21*(-1+SQRT(1+2/(H8*E23))))/1000</f>
        <v>0.23257300595264652</v>
      </c>
      <c r="F36" t="str">
        <f>"= "&amp;ROUNDUP(E36/$E$21*1000,2)&amp;" d"</f>
        <v>= 0,44 d</v>
      </c>
      <c r="G36" s="4"/>
    </row>
    <row r="37" spans="3:9" x14ac:dyDescent="0.25">
      <c r="C37" s="50" t="s">
        <v>336</v>
      </c>
      <c r="D37" s="3" t="s">
        <v>344</v>
      </c>
      <c r="E37" s="381">
        <f>E21/1000-E36/3</f>
        <v>0.45547566468245121</v>
      </c>
      <c r="F37" t="str">
        <f>"= "&amp;ROUNDUP(E37/$E$21*1000,2)&amp;" d"</f>
        <v>= 0,86 d</v>
      </c>
      <c r="G37" s="4"/>
    </row>
    <row r="38" spans="3:9" ht="18.75" x14ac:dyDescent="0.35">
      <c r="C38" s="50" t="s">
        <v>337</v>
      </c>
      <c r="D38" s="3" t="s">
        <v>343</v>
      </c>
      <c r="E38" s="382">
        <f>H8*E20/10000*(E21/1000-E36)*(E21/1000-E36/3)</f>
        <v>4.9273542417603783E-3</v>
      </c>
      <c r="F38"/>
      <c r="G38" s="4"/>
    </row>
    <row r="39" spans="3:9" ht="18.75" x14ac:dyDescent="0.35">
      <c r="C39" s="50" t="s">
        <v>338</v>
      </c>
      <c r="D39" s="3" t="s">
        <v>342</v>
      </c>
      <c r="E39" s="259">
        <f>MAX(1.6-E5,1)*0.3*E11^(2/3)</f>
        <v>2.5649639200150443</v>
      </c>
      <c r="F39"/>
      <c r="G39" s="4"/>
    </row>
    <row r="40" spans="3:9" ht="18.75" x14ac:dyDescent="0.35">
      <c r="C40" s="96" t="s">
        <v>339</v>
      </c>
      <c r="D40" s="52" t="s">
        <v>380</v>
      </c>
      <c r="E40" s="383">
        <f>(E39*E35)/(E5/2)*1000</f>
        <v>61.559134080361069</v>
      </c>
      <c r="F40"/>
      <c r="G40" s="4"/>
    </row>
    <row r="41" spans="3:9" ht="9" customHeight="1" x14ac:dyDescent="0.25">
      <c r="D41" s="3"/>
      <c r="E41" s="384"/>
      <c r="F41"/>
      <c r="G41" s="4"/>
      <c r="H41" s="55" t="s">
        <v>53</v>
      </c>
    </row>
    <row r="42" spans="3:9" x14ac:dyDescent="0.25">
      <c r="C42" s="50" t="s">
        <v>349</v>
      </c>
      <c r="D42" s="3" t="s">
        <v>340</v>
      </c>
      <c r="E42" s="259">
        <f>E40*E36/E38/1000</f>
        <v>2.9056146878119726</v>
      </c>
      <c r="F42"/>
      <c r="G42" s="4"/>
    </row>
    <row r="43" spans="3:9" x14ac:dyDescent="0.25">
      <c r="D43" s="3" t="s">
        <v>341</v>
      </c>
      <c r="E43" s="259">
        <f>H8*((E21-E36*1000)/(E36*1000))*E42</f>
        <v>27.533246644178703</v>
      </c>
      <c r="F43"/>
      <c r="G43" s="4"/>
    </row>
    <row r="44" spans="3:9" x14ac:dyDescent="0.25">
      <c r="C44" s="295"/>
      <c r="D44" s="3" t="s">
        <v>387</v>
      </c>
      <c r="E44" s="259">
        <f>(E7*E36)/(E38*10^3)</f>
        <v>12.272099504273628</v>
      </c>
      <c r="F44"/>
      <c r="G44" s="4"/>
    </row>
    <row r="45" spans="3:9" x14ac:dyDescent="0.25">
      <c r="C45" s="295"/>
      <c r="D45" s="3" t="s">
        <v>388</v>
      </c>
      <c r="E45" s="259">
        <f>H8*((E21-E36*1000)/(E36*1000))*E44</f>
        <v>116.28890227957662</v>
      </c>
      <c r="F45" s="49"/>
      <c r="G45" s="4"/>
    </row>
    <row r="46" spans="3:9" x14ac:dyDescent="0.25">
      <c r="C46" s="50" t="s">
        <v>350</v>
      </c>
      <c r="D46" s="3" t="s">
        <v>391</v>
      </c>
      <c r="E46" s="385">
        <f>MAX(E45/H5*(1-G31*(E43/E45)^2),0.4*E45/H5)</f>
        <v>5.6514717657253069E-4</v>
      </c>
      <c r="F46" s="325" t="str">
        <f>IF(E45&gt;G46,"&gt;","&lt;")</f>
        <v>&gt;</v>
      </c>
      <c r="G46" s="326">
        <f>0.4*E45/H5</f>
        <v>2.3257780455915325E-4</v>
      </c>
    </row>
    <row r="47" spans="3:9" ht="18.75" x14ac:dyDescent="0.35">
      <c r="C47" s="96" t="s">
        <v>351</v>
      </c>
      <c r="D47" s="52" t="s">
        <v>390</v>
      </c>
      <c r="E47" s="386">
        <f>IF(E7&lt;E40,0,G30*MAX(E46,G46)*E34)</f>
        <v>0.1195876106296266</v>
      </c>
      <c r="F47" s="49"/>
      <c r="G47" s="4"/>
      <c r="I47" s="55"/>
    </row>
    <row r="48" spans="3:9" x14ac:dyDescent="0.25">
      <c r="E48" s="5" t="str">
        <f>IF(E47&gt;E9,"Fisuras superior al limite admisible!","Fisuras dentro del rango admisible")</f>
        <v>Fisuras dentro del rango admisible</v>
      </c>
    </row>
    <row r="50" spans="2:9" x14ac:dyDescent="0.25">
      <c r="I50" s="50"/>
    </row>
    <row r="52" spans="2:9" ht="15.75" customHeight="1" x14ac:dyDescent="0.25">
      <c r="B52" s="247"/>
      <c r="C52" s="247"/>
      <c r="D52" s="247"/>
      <c r="E52" s="247"/>
      <c r="F52" s="247"/>
      <c r="G52" s="247"/>
      <c r="H52" s="247"/>
      <c r="I52" s="363"/>
    </row>
    <row r="53" spans="2:9" ht="15.75" customHeight="1" x14ac:dyDescent="0.25">
      <c r="B53" s="247"/>
      <c r="C53" s="247"/>
      <c r="D53" s="247"/>
      <c r="E53" s="247"/>
      <c r="F53" s="247"/>
      <c r="G53" s="247"/>
      <c r="H53" s="247"/>
      <c r="I53" s="363"/>
    </row>
    <row r="54" spans="2:9" ht="15.75" customHeight="1" x14ac:dyDescent="0.25">
      <c r="B54" s="247"/>
      <c r="C54" s="247"/>
      <c r="D54" s="247"/>
      <c r="E54" s="247"/>
      <c r="F54" s="247"/>
      <c r="G54" s="247"/>
      <c r="H54" s="247"/>
      <c r="I54" s="363"/>
    </row>
    <row r="55" spans="2:9" ht="15.75" customHeight="1" x14ac:dyDescent="0.25">
      <c r="B55" s="247"/>
      <c r="C55" s="247"/>
      <c r="D55" s="247"/>
      <c r="E55" s="247"/>
      <c r="F55" s="247"/>
      <c r="G55" s="247"/>
      <c r="H55" s="247"/>
      <c r="I55" s="363"/>
    </row>
    <row r="56" spans="2:9" ht="15.75" customHeight="1" x14ac:dyDescent="0.25">
      <c r="B56" s="247"/>
      <c r="C56" s="247"/>
      <c r="D56" s="247"/>
      <c r="E56" s="247"/>
      <c r="F56" s="247"/>
      <c r="G56" s="247"/>
      <c r="H56" s="247"/>
      <c r="I56" s="363"/>
    </row>
    <row r="57" spans="2:9" ht="15.75" customHeight="1" x14ac:dyDescent="0.25">
      <c r="B57" s="247"/>
      <c r="C57" s="247"/>
      <c r="D57" s="247"/>
      <c r="E57" s="247"/>
      <c r="F57" s="247"/>
      <c r="G57" s="247"/>
      <c r="H57" s="247"/>
      <c r="I57" s="363"/>
    </row>
    <row r="58" spans="2:9" ht="15.75" customHeight="1" x14ac:dyDescent="0.25">
      <c r="B58" s="247"/>
      <c r="C58" s="247"/>
      <c r="D58" s="247"/>
      <c r="E58" s="247"/>
      <c r="F58" s="247"/>
      <c r="G58" s="247"/>
      <c r="H58" s="247"/>
      <c r="I58" s="363"/>
    </row>
    <row r="59" spans="2:9" ht="15.75" customHeight="1" x14ac:dyDescent="0.25">
      <c r="B59" s="247"/>
      <c r="C59" s="247"/>
      <c r="D59" s="247"/>
      <c r="E59" s="247"/>
      <c r="F59" s="247"/>
      <c r="G59" s="247"/>
      <c r="H59" s="247"/>
      <c r="I59" s="363"/>
    </row>
    <row r="60" spans="2:9" ht="15.75" customHeight="1" x14ac:dyDescent="0.25">
      <c r="B60" s="247"/>
      <c r="C60" s="247"/>
      <c r="D60" s="247"/>
      <c r="E60" s="247"/>
      <c r="F60" s="247"/>
      <c r="G60" s="247"/>
      <c r="H60" s="247"/>
      <c r="I60" s="363"/>
    </row>
    <row r="61" spans="2:9" ht="15.75" customHeight="1" x14ac:dyDescent="0.25">
      <c r="B61" s="247"/>
      <c r="C61" s="247"/>
      <c r="D61" s="247"/>
      <c r="E61" s="247"/>
      <c r="F61" s="247"/>
      <c r="G61" s="247"/>
      <c r="H61" s="247"/>
      <c r="I61" s="363"/>
    </row>
    <row r="62" spans="2:9" ht="15.75" customHeight="1" x14ac:dyDescent="0.25">
      <c r="B62" s="247"/>
      <c r="C62" s="247"/>
      <c r="D62" s="247"/>
      <c r="E62" s="247"/>
      <c r="F62" s="247"/>
      <c r="G62" s="247"/>
      <c r="H62" s="247"/>
      <c r="I62" s="363"/>
    </row>
    <row r="63" spans="2:9" ht="15.75" customHeight="1" x14ac:dyDescent="0.25">
      <c r="B63" s="247"/>
      <c r="C63" s="247"/>
      <c r="D63" s="247"/>
      <c r="E63" s="247"/>
      <c r="F63" s="247"/>
      <c r="G63" s="247"/>
      <c r="H63" s="247"/>
      <c r="I63" s="363"/>
    </row>
    <row r="64" spans="2:9" ht="15.75" customHeight="1" x14ac:dyDescent="0.25">
      <c r="B64" s="247"/>
      <c r="C64" s="247"/>
      <c r="D64" s="247"/>
      <c r="E64" s="247"/>
      <c r="F64" s="247"/>
      <c r="G64" s="247"/>
      <c r="H64" s="247"/>
      <c r="I64" s="363"/>
    </row>
    <row r="65" spans="1:9" ht="15.75" customHeight="1" x14ac:dyDescent="0.25">
      <c r="B65" s="247"/>
      <c r="C65" s="247"/>
      <c r="D65" s="247"/>
      <c r="E65" s="247"/>
      <c r="F65" s="247"/>
      <c r="G65" s="247"/>
      <c r="H65" s="247"/>
      <c r="I65" s="363"/>
    </row>
    <row r="67" spans="1:9" x14ac:dyDescent="0.25">
      <c r="A67" s="348" t="s">
        <v>376</v>
      </c>
      <c r="B67" s="357">
        <v>1</v>
      </c>
    </row>
    <row r="68" spans="1:9" ht="18" x14ac:dyDescent="0.35">
      <c r="A68" s="358" t="s">
        <v>394</v>
      </c>
      <c r="B68" s="359">
        <f>+'Flexión simple'!E45</f>
        <v>12</v>
      </c>
    </row>
    <row r="69" spans="1:9" x14ac:dyDescent="0.25">
      <c r="A69" s="358" t="s">
        <v>363</v>
      </c>
      <c r="B69" s="372">
        <v>5</v>
      </c>
    </row>
    <row r="70" spans="1:9" x14ac:dyDescent="0.25">
      <c r="A70" s="358" t="s">
        <v>379</v>
      </c>
      <c r="B70" s="360">
        <v>208</v>
      </c>
    </row>
    <row r="71" spans="1:9" x14ac:dyDescent="0.25">
      <c r="A71" s="358" t="s">
        <v>378</v>
      </c>
      <c r="B71" s="361">
        <v>2.2599999999999998</v>
      </c>
    </row>
    <row r="72" spans="1:9" x14ac:dyDescent="0.25">
      <c r="A72" s="358" t="s">
        <v>377</v>
      </c>
      <c r="B72" s="362">
        <v>1.4E-3</v>
      </c>
    </row>
  </sheetData>
  <sheetProtection selectLockedCells="1"/>
  <dataConsolidate/>
  <conditionalFormatting sqref="D2:H2">
    <cfRule type="expression" dxfId="2" priority="2">
      <formula>$E$47&gt;$E$9</formula>
    </cfRule>
  </conditionalFormatting>
  <conditionalFormatting sqref="E48:H48">
    <cfRule type="expression" dxfId="1" priority="1">
      <formula>$E$47&gt;$E$9</formula>
    </cfRule>
    <cfRule type="expression" dxfId="0" priority="3">
      <formula>$E$47&lt;$E$9</formula>
    </cfRule>
  </conditionalFormatting>
  <dataValidations count="1">
    <dataValidation type="list" allowBlank="1" showInputMessage="1" showErrorMessage="1" sqref="E17 B68 E26" xr:uid="{D102E20A-B19D-4B0F-9F01-70714D4C7C11}">
      <formula1>Diámetros</formula1>
    </dataValidation>
  </dataValidations>
  <printOptions horizontalCentered="1"/>
  <pageMargins left="0.70866141732283472" right="0.70866141732283472" top="0.74803149606299213" bottom="0.74803149606299213" header="0.31496062992125984" footer="0.31496062992125984"/>
  <pageSetup paperSize="9" scale="78" fitToHeight="0" orientation="portrait" r:id="rId1"/>
  <headerFooter>
    <oddHeader>&amp;LPablo Hernández Zamora
&amp;D
&amp;T&amp;CGrupo: ADE&amp;R&amp;F
&amp;A</oddHeader>
    <oddFooter xml:space="preserve">&amp;R&amp;P de  &amp;N
</oddFooter>
  </headerFooter>
  <colBreaks count="1" manualBreakCount="1">
    <brk id="8" max="47" man="1"/>
  </colBreaks>
  <drawing r:id="rId2"/>
  <legacyDrawing r:id="rId3"/>
  <mc:AlternateContent xmlns:mc="http://schemas.openxmlformats.org/markup-compatibility/2006">
    <mc:Choice Requires="x14">
      <controls>
        <mc:AlternateContent xmlns:mc="http://schemas.openxmlformats.org/markup-compatibility/2006">
          <mc:Choice Requires="x14">
            <control shapeId="15362" r:id="rId4" name="Croquis">
              <controlPr defaultSize="0" autoFill="0" autoPict="0" macro="[0]!CroquisFisuracion.CroquisFisuracion">
                <anchor moveWithCells="1">
                  <from>
                    <xdr:col>6</xdr:col>
                    <xdr:colOff>123825</xdr:colOff>
                    <xdr:row>8</xdr:row>
                    <xdr:rowOff>171450</xdr:rowOff>
                  </from>
                  <to>
                    <xdr:col>8</xdr:col>
                    <xdr:colOff>0</xdr:colOff>
                    <xdr:row>11</xdr:row>
                    <xdr:rowOff>9525</xdr:rowOff>
                  </to>
                </anchor>
              </controlPr>
            </control>
          </mc:Choice>
        </mc:AlternateContent>
        <mc:AlternateContent xmlns:mc="http://schemas.openxmlformats.org/markup-compatibility/2006">
          <mc:Choice Requires="x14">
            <control shapeId="15363" r:id="rId5" name="Geometria">
              <controlPr defaultSize="0" autoFill="0" autoPict="0" macro="[0]!ELS_GeometriaSeccion">
                <anchor moveWithCells="1">
                  <from>
                    <xdr:col>0</xdr:col>
                    <xdr:colOff>1190625</xdr:colOff>
                    <xdr:row>1</xdr:row>
                    <xdr:rowOff>104775</xdr:rowOff>
                  </from>
                  <to>
                    <xdr:col>2</xdr:col>
                    <xdr:colOff>819150</xdr:colOff>
                    <xdr:row>3</xdr:row>
                    <xdr:rowOff>104775</xdr:rowOff>
                  </to>
                </anchor>
              </controlPr>
            </control>
          </mc:Choice>
        </mc:AlternateContent>
        <mc:AlternateContent xmlns:mc="http://schemas.openxmlformats.org/markup-compatibility/2006">
          <mc:Choice Requires="x14">
            <control shapeId="15384" r:id="rId6" name="AA_Limpiar">
              <controlPr defaultSize="0" autoFill="0" autoPict="0" macro="[0]!BorrarTodos">
                <anchor moveWithCells="1">
                  <from>
                    <xdr:col>6</xdr:col>
                    <xdr:colOff>123825</xdr:colOff>
                    <xdr:row>11</xdr:row>
                    <xdr:rowOff>28575</xdr:rowOff>
                  </from>
                  <to>
                    <xdr:col>7</xdr:col>
                    <xdr:colOff>1257300</xdr:colOff>
                    <xdr:row>12</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AE651B35-B208-454D-8562-2652EDC1DE9C}">
          <x14:formula1>
            <xm:f>'Tablas EHE'!$A$2:$A$7</xm:f>
          </x14:formula1>
          <xm:sqref>C11</xm:sqref>
        </x14:dataValidation>
        <x14:dataValidation type="list" allowBlank="1" showInputMessage="1" showErrorMessage="1" xr:uid="{0194C779-9D65-4E3D-B9F6-3C8FBB7F85F7}">
          <x14:formula1>
            <xm:f>'Tablas EHE'!$D$2:$D$3</xm:f>
          </x14:formula1>
          <xm:sqref>C13</xm:sqref>
        </x14:dataValidation>
        <x14:dataValidation type="list" allowBlank="1" showInputMessage="1" showErrorMessage="1" xr:uid="{5512A075-DF77-444B-9595-0379356BAE8D}">
          <x14:formula1>
            <xm:f>'Tablas EHE'!$D$5:$D$6</xm:f>
          </x14:formula1>
          <xm:sqref>E31</xm:sqref>
        </x14:dataValidation>
        <x14:dataValidation type="list" allowBlank="1" showInputMessage="1" showErrorMessage="1" xr:uid="{EC66D9EF-07E3-4488-AA89-79FD92EF32E8}">
          <x14:formula1>
            <xm:f>'Tablas EHE'!$G$18:$G$19</xm:f>
          </x14:formula1>
          <xm:sqref>E30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5ABB7C6-ADB4-4C47-8676-A00D8A30B6E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10</vt:i4>
      </vt:variant>
    </vt:vector>
  </HeadingPairs>
  <TitlesOfParts>
    <vt:vector size="18" baseType="lpstr">
      <vt:lpstr>Leyenda</vt:lpstr>
      <vt:lpstr>Tablas EHE</vt:lpstr>
      <vt:lpstr>Flexión simple</vt:lpstr>
      <vt:lpstr>Flexocompresión</vt:lpstr>
      <vt:lpstr>Elementos esbeltos</vt:lpstr>
      <vt:lpstr>Rasante en juntas</vt:lpstr>
      <vt:lpstr>Verificacion de Cortante</vt:lpstr>
      <vt:lpstr>ELS fisuracion</vt:lpstr>
      <vt:lpstr>Diámetros</vt:lpstr>
      <vt:lpstr>ForjadosUnidireccionales</vt:lpstr>
      <vt:lpstr>Muros</vt:lpstr>
      <vt:lpstr>'Elementos esbeltos'!Print_Area</vt:lpstr>
      <vt:lpstr>'ELS fisuracion'!Print_Area</vt:lpstr>
      <vt:lpstr>'Flexión simple'!Print_Area</vt:lpstr>
      <vt:lpstr>Flexocompresión!Print_Area</vt:lpstr>
      <vt:lpstr>Leyenda!Print_Area</vt:lpstr>
      <vt:lpstr>'Rasante en juntas'!Print_Area</vt:lpstr>
      <vt:lpstr>'Verificacion de Cortante'!Print_Area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pablo hernandez</dc:creator>
  <cp:lastModifiedBy>pablo hernandez</cp:lastModifiedBy>
  <cp:lastPrinted>2021-05-24T10:20:28Z</cp:lastPrinted>
  <dcterms:created xsi:type="dcterms:W3CDTF">2021-02-23T17:15:55Z</dcterms:created>
  <dcterms:modified xsi:type="dcterms:W3CDTF">2023-03-13T19:25:26Z</dcterms:modified>
</cp:coreProperties>
</file>